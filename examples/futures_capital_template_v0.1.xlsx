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tings" sheetId="2" state="visible" r:id="rId2"/>
    <sheet name="Trades" sheetId="3" state="visible" r:id="rId3"/>
    <sheet name="Withdrawals" sheetId="4" state="visible" r:id="rId4"/>
    <sheet name="Monthly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'Trades'!N1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'Trades'!$N$2:$N$40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Drawdown</a:t>
            </a:r>
          </a:p>
        </rich>
      </tx>
    </title>
    <plotArea>
      <lineChart>
        <grouping val="standard"/>
        <ser>
          <idx val="0"/>
          <order val="0"/>
          <tx>
            <strRef>
              <f>'Trades'!P1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'Trades'!$P$2:$P$40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Drawdown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Net PnL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'Monthly'!B1</f>
            </strRef>
          </tx>
          <spPr>
            <a:ln>
              <a:prstDash val="solid"/>
            </a:ln>
          </spPr>
          <cat>
            <numRef>
              <f>'Monthly'!$A$2:$A$7</f>
            </numRef>
          </cat>
          <val>
            <numRef>
              <f>'Monthly'!$B$2:$B$7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PnL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8" customWidth="1" min="3" max="3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Futures Capital Template v0.1</t>
        </is>
      </c>
      <c r="B1" s="2" t="n"/>
      <c r="C1" s="2" t="n"/>
    </row>
    <row r="2">
      <c r="A2" s="3" t="inlineStr">
        <is>
          <t>Capital management dashboard for backtest and live futures records.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Metric</t>
        </is>
      </c>
      <c r="B4" s="4" t="inlineStr">
        <is>
          <t>Value</t>
        </is>
      </c>
      <c r="C4" s="4" t="inlineStr">
        <is>
          <t>Meaning</t>
        </is>
      </c>
    </row>
    <row r="5">
      <c r="A5" s="5" t="inlineStr">
        <is>
          <t>Starting Equity</t>
        </is>
      </c>
      <c r="B5" s="6">
        <f>Settings!B7</f>
        <v/>
      </c>
      <c r="C5" s="2" t="inlineStr">
        <is>
          <t>Initial strategy capital</t>
        </is>
      </c>
    </row>
    <row r="6">
      <c r="A6" s="5" t="inlineStr">
        <is>
          <t>Current Account Equity</t>
        </is>
      </c>
      <c r="B6" s="6">
        <f>LOOKUP(2,1/(Trades!N:N&lt;&gt;""),Trades!N:N)</f>
        <v/>
      </c>
      <c r="C6" s="2" t="inlineStr">
        <is>
          <t>Latest equity after trades</t>
        </is>
      </c>
    </row>
    <row r="7">
      <c r="A7" s="5" t="inlineStr">
        <is>
          <t>Actual Withdrawals</t>
        </is>
      </c>
      <c r="B7" s="6">
        <f>Settings!B8</f>
        <v/>
      </c>
      <c r="C7" s="2" t="inlineStr">
        <is>
          <t>Money removed from account</t>
        </is>
      </c>
    </row>
    <row r="8">
      <c r="A8" s="5" t="inlineStr">
        <is>
          <t>Total Wealth</t>
        </is>
      </c>
      <c r="B8" s="6">
        <f>B6+B7</f>
        <v/>
      </c>
      <c r="C8" s="2" t="inlineStr">
        <is>
          <t>Account equity + actual withdrawals</t>
        </is>
      </c>
    </row>
    <row r="9">
      <c r="A9" s="5" t="inlineStr">
        <is>
          <t>Internal Locked</t>
        </is>
      </c>
      <c r="B9" s="6">
        <f>Settings!B9</f>
        <v/>
      </c>
      <c r="C9" s="2" t="inlineStr">
        <is>
          <t>Recorded but not actually removed</t>
        </is>
      </c>
    </row>
    <row r="10">
      <c r="A10" s="5" t="inlineStr">
        <is>
          <t>Total Trades</t>
        </is>
      </c>
      <c r="B10" s="6">
        <f>COUNTIF(Trades!L:L,"&lt;&gt;")</f>
        <v/>
      </c>
      <c r="C10" s="2" t="inlineStr">
        <is>
          <t>Closed trades</t>
        </is>
      </c>
    </row>
    <row r="11">
      <c r="A11" s="5" t="inlineStr">
        <is>
          <t>Win Rate</t>
        </is>
      </c>
      <c r="B11" s="7">
        <f>IF(B10=0,"",COUNTIF(Trades!Q:Q,"Win")/B10)</f>
        <v/>
      </c>
      <c r="C11" s="2" t="inlineStr">
        <is>
          <t>Winning trades / total trades</t>
        </is>
      </c>
    </row>
    <row r="12">
      <c r="A12" s="5" t="inlineStr">
        <is>
          <t>Gross Profit</t>
        </is>
      </c>
      <c r="B12" s="6">
        <f>SUMIF(Trades!L:L,"&gt;0",Trades!L:L)</f>
        <v/>
      </c>
      <c r="C12" s="2" t="inlineStr">
        <is>
          <t>Sum of wins</t>
        </is>
      </c>
    </row>
    <row r="13">
      <c r="A13" s="5" t="inlineStr">
        <is>
          <t>Gross Loss</t>
        </is>
      </c>
      <c r="B13" s="6">
        <f>ABS(SUMIF(Trades!L:L,"&lt;0",Trades!L:L))</f>
        <v/>
      </c>
      <c r="C13" s="2" t="inlineStr">
        <is>
          <t>Absolute sum of losses</t>
        </is>
      </c>
    </row>
    <row r="14">
      <c r="A14" s="5" t="inlineStr">
        <is>
          <t>Profit Factor</t>
        </is>
      </c>
      <c r="B14" s="6">
        <f>IF(B13=0,"",B12/B13)</f>
        <v/>
      </c>
      <c r="C14" s="2" t="inlineStr">
        <is>
          <t>Gross profit / gross loss</t>
        </is>
      </c>
    </row>
    <row r="15">
      <c r="A15" s="5" t="inlineStr">
        <is>
          <t>Max Drawdown</t>
        </is>
      </c>
      <c r="B15" s="6">
        <f>MIN(Trades!P:P)</f>
        <v/>
      </c>
      <c r="C15" s="2" t="inlineStr">
        <is>
          <t>Largest equity drop from peak</t>
        </is>
      </c>
    </row>
    <row r="16">
      <c r="A16" s="5" t="inlineStr">
        <is>
          <t>Absolute PnL</t>
        </is>
      </c>
      <c r="B16" s="6">
        <f>B8-B5</f>
        <v/>
      </c>
      <c r="C16" s="2" t="inlineStr">
        <is>
          <t>Total wealth - starting equity</t>
        </is>
      </c>
    </row>
    <row r="17">
      <c r="A17" s="5" t="inlineStr">
        <is>
          <t>Return on Starting Equity</t>
        </is>
      </c>
      <c r="B17" s="7">
        <f>IF(B5=0,"",B16/B5)</f>
        <v/>
      </c>
      <c r="C17" s="2" t="inlineStr">
        <is>
          <t>Absolute PnL / starting equity</t>
        </is>
      </c>
    </row>
    <row r="18">
      <c r="A18" s="5" t="inlineStr">
        <is>
          <t>Water Per Lot</t>
        </is>
      </c>
      <c r="B18" s="6">
        <f>Settings!B6</f>
        <v/>
      </c>
      <c r="C18" s="2" t="inlineStr">
        <is>
          <t>Margin + drawdown water</t>
        </is>
      </c>
    </row>
    <row r="19">
      <c r="A19" s="5" t="inlineStr">
        <is>
          <t>Estimated Lots</t>
        </is>
      </c>
      <c r="B19" s="6">
        <f>IF(B18=0,"",ROUNDDOWN(B6/B18,0))</f>
        <v/>
      </c>
      <c r="C19" s="2" t="inlineStr">
        <is>
          <t>Equity divided by water per lot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4" t="inlineStr">
        <is>
          <t>Field</t>
        </is>
      </c>
      <c r="B1" s="4" t="inlineStr">
        <is>
          <t>Value</t>
        </is>
      </c>
      <c r="C1" s="4" t="inlineStr">
        <is>
          <t>Note</t>
        </is>
      </c>
    </row>
    <row r="2">
      <c r="A2" s="2" t="inlineStr">
        <is>
          <t>Product</t>
        </is>
      </c>
      <c r="B2" s="2" t="inlineStr">
        <is>
          <t>Micro Futures</t>
        </is>
      </c>
      <c r="C2" s="2" t="inlineStr">
        <is>
          <t>Example only</t>
        </is>
      </c>
    </row>
    <row r="3">
      <c r="A3" s="2" t="inlineStr">
        <is>
          <t>Point Value</t>
        </is>
      </c>
      <c r="B3" s="6" t="n">
        <v>10</v>
      </c>
      <c r="C3" s="2" t="inlineStr">
        <is>
          <t>Cash value per point</t>
        </is>
      </c>
    </row>
    <row r="4">
      <c r="A4" s="2" t="inlineStr">
        <is>
          <t>Margin Per Lot</t>
        </is>
      </c>
      <c r="B4" s="6" t="n">
        <v>28900</v>
      </c>
      <c r="C4" s="2" t="inlineStr">
        <is>
          <t>Update when exchange margin changes</t>
        </is>
      </c>
    </row>
    <row r="5">
      <c r="A5" s="2" t="inlineStr">
        <is>
          <t>Drawdown Water Points</t>
        </is>
      </c>
      <c r="B5" s="6" t="n">
        <v>1300</v>
      </c>
      <c r="C5" s="2" t="inlineStr">
        <is>
          <t>Risk buffer per lot</t>
        </is>
      </c>
    </row>
    <row r="6">
      <c r="A6" s="2" t="inlineStr">
        <is>
          <t>Water Per Lot</t>
        </is>
      </c>
      <c r="B6" s="6">
        <f>B4+B5*B3</f>
        <v/>
      </c>
      <c r="C6" s="2" t="inlineStr">
        <is>
          <t>Margin + drawdown points * point value</t>
        </is>
      </c>
    </row>
    <row r="7">
      <c r="A7" s="2" t="inlineStr">
        <is>
          <t>Starting Equity</t>
        </is>
      </c>
      <c r="B7" s="6" t="n">
        <v>170000</v>
      </c>
      <c r="C7" s="2" t="inlineStr">
        <is>
          <t>Initial strategy capital</t>
        </is>
      </c>
    </row>
    <row r="8">
      <c r="A8" s="2" t="inlineStr">
        <is>
          <t>Actual Withdrawals</t>
        </is>
      </c>
      <c r="B8" s="6">
        <f>SUMIFS(Withdrawals!C:C,Withdrawals!D:D,"Actual")</f>
        <v/>
      </c>
      <c r="C8" s="2" t="inlineStr">
        <is>
          <t>Money removed from account</t>
        </is>
      </c>
    </row>
    <row r="9">
      <c r="A9" s="2" t="inlineStr">
        <is>
          <t>Internal Locked</t>
        </is>
      </c>
      <c r="B9" s="6">
        <f>SUMIFS(Withdrawals!C:C,Withdrawals!D:D,"Locked")</f>
        <v/>
      </c>
      <c r="C9" s="2" t="inlineStr">
        <is>
          <t>Recorded but still inside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  <col width="8" customWidth="1" min="6" max="6"/>
    <col width="12" customWidth="1" min="7" max="7"/>
    <col width="12" customWidth="1" min="8" max="8"/>
    <col width="10" customWidth="1" min="9" max="9"/>
    <col width="14" customWidth="1" min="10" max="10"/>
    <col width="1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0" customWidth="1" min="17" max="17"/>
    <col width="28" customWidth="1" min="18" max="18"/>
  </cols>
  <sheetData>
    <row r="1">
      <c r="A1" s="4" t="inlineStr">
        <is>
          <t>Trade ID</t>
        </is>
      </c>
      <c r="B1" s="4" t="inlineStr">
        <is>
          <t>Module</t>
        </is>
      </c>
      <c r="C1" s="4" t="inlineStr">
        <is>
          <t>Entry Date</t>
        </is>
      </c>
      <c r="D1" s="4" t="inlineStr">
        <is>
          <t>Exit Date</t>
        </is>
      </c>
      <c r="E1" s="4" t="inlineStr">
        <is>
          <t>Direction</t>
        </is>
      </c>
      <c r="F1" s="4" t="inlineStr">
        <is>
          <t>Lots</t>
        </is>
      </c>
      <c r="G1" s="4" t="inlineStr">
        <is>
          <t>Entry Price</t>
        </is>
      </c>
      <c r="H1" s="4" t="inlineStr">
        <is>
          <t>Exit Price</t>
        </is>
      </c>
      <c r="I1" s="4" t="inlineStr">
        <is>
          <t>Points</t>
        </is>
      </c>
      <c r="J1" s="4" t="inlineStr">
        <is>
          <t>Gross PnL</t>
        </is>
      </c>
      <c r="K1" s="4" t="inlineStr">
        <is>
          <t>Costs</t>
        </is>
      </c>
      <c r="L1" s="4" t="inlineStr">
        <is>
          <t>Net PnL</t>
        </is>
      </c>
      <c r="M1" s="4" t="inlineStr">
        <is>
          <t>Equity Before</t>
        </is>
      </c>
      <c r="N1" s="4" t="inlineStr">
        <is>
          <t>Equity After</t>
        </is>
      </c>
      <c r="O1" s="4" t="inlineStr">
        <is>
          <t>Equity Peak</t>
        </is>
      </c>
      <c r="P1" s="4" t="inlineStr">
        <is>
          <t>Drawdown</t>
        </is>
      </c>
      <c r="Q1" s="4" t="inlineStr">
        <is>
          <t>Win/Loss</t>
        </is>
      </c>
      <c r="R1" s="4" t="inlineStr">
        <is>
          <t>Note</t>
        </is>
      </c>
    </row>
    <row r="2">
      <c r="A2" s="2" t="n">
        <v>1</v>
      </c>
      <c r="B2" s="2" t="inlineStr">
        <is>
          <t>DAY</t>
        </is>
      </c>
      <c r="C2" s="2" t="inlineStr">
        <is>
          <t>2026-01-02</t>
        </is>
      </c>
      <c r="D2" s="2" t="inlineStr">
        <is>
          <t>2026-01-06</t>
        </is>
      </c>
      <c r="E2" s="2" t="inlineStr">
        <is>
          <t>Long</t>
        </is>
      </c>
      <c r="F2" s="2" t="n">
        <v>1</v>
      </c>
      <c r="G2" s="6" t="n">
        <v>20000</v>
      </c>
      <c r="H2" s="6" t="n">
        <v>20650</v>
      </c>
      <c r="I2" s="2">
        <f>IF(OR(E2="",G2="",H2=""),"",IF(E2="Short",G2-H2,H2-G2))</f>
        <v/>
      </c>
      <c r="J2" s="6">
        <f>IF(I2="","",I2*F2*Settings!$B$3)</f>
        <v/>
      </c>
      <c r="K2" s="6" t="n">
        <v>120</v>
      </c>
      <c r="L2" s="6">
        <f>IF(J2="","",J2-K2)</f>
        <v/>
      </c>
      <c r="M2" s="6">
        <f>Settings!$B$7</f>
        <v/>
      </c>
      <c r="N2" s="6">
        <f>IF(L2="","",M2+L2)</f>
        <v/>
      </c>
      <c r="O2" s="6">
        <f>IF(N2="","",MAX(Settings!$B$7,N$2:N2))</f>
        <v/>
      </c>
      <c r="P2" s="6">
        <f>IF(N2="","",N2-O2)</f>
        <v/>
      </c>
      <c r="Q2" s="2">
        <f>IF(L2="","",IF(L2&gt;0,"Win",IF(L2&lt;0,"Loss","Flat")))</f>
        <v/>
      </c>
      <c r="R2" s="2" t="inlineStr">
        <is>
          <t>Sample trend trade</t>
        </is>
      </c>
    </row>
    <row r="3">
      <c r="A3" s="2" t="n">
        <v>2</v>
      </c>
      <c r="B3" s="2" t="inlineStr">
        <is>
          <t>M15_NIGHT</t>
        </is>
      </c>
      <c r="C3" s="2" t="inlineStr">
        <is>
          <t>2026-01-08</t>
        </is>
      </c>
      <c r="D3" s="2" t="inlineStr">
        <is>
          <t>2026-01-08</t>
        </is>
      </c>
      <c r="E3" s="2" t="inlineStr">
        <is>
          <t>Long</t>
        </is>
      </c>
      <c r="F3" s="2" t="n">
        <v>1</v>
      </c>
      <c r="G3" s="6" t="n">
        <v>20700</v>
      </c>
      <c r="H3" s="6" t="n">
        <v>20480</v>
      </c>
      <c r="I3" s="2">
        <f>IF(OR(E3="",G3="",H3=""),"",IF(E3="Short",G3-H3,H3-G3))</f>
        <v/>
      </c>
      <c r="J3" s="6">
        <f>IF(I3="","",I3*F3*Settings!$B$3)</f>
        <v/>
      </c>
      <c r="K3" s="6" t="n">
        <v>120</v>
      </c>
      <c r="L3" s="6">
        <f>IF(J3="","",J3-K3)</f>
        <v/>
      </c>
      <c r="M3" s="6">
        <f>IF(C3="","",N2)</f>
        <v/>
      </c>
      <c r="N3" s="6">
        <f>IF(L3="","",M3+L3)</f>
        <v/>
      </c>
      <c r="O3" s="6">
        <f>IF(N3="","",MAX(Settings!$B$7,N$2:N3))</f>
        <v/>
      </c>
      <c r="P3" s="6">
        <f>IF(N3="","",N3-O3)</f>
        <v/>
      </c>
      <c r="Q3" s="2">
        <f>IF(L3="","",IF(L3&gt;0,"Win",IF(L3&lt;0,"Loss","Flat")))</f>
        <v/>
      </c>
      <c r="R3" s="2" t="inlineStr">
        <is>
          <t>Sample false breakout</t>
        </is>
      </c>
    </row>
    <row r="4">
      <c r="A4" s="2" t="n">
        <v>3</v>
      </c>
      <c r="B4" s="2" t="inlineStr">
        <is>
          <t>T1O</t>
        </is>
      </c>
      <c r="C4" s="2" t="inlineStr">
        <is>
          <t>2026-01-10</t>
        </is>
      </c>
      <c r="D4" s="2" t="inlineStr">
        <is>
          <t>2026-01-10</t>
        </is>
      </c>
      <c r="E4" s="2" t="inlineStr">
        <is>
          <t>Short</t>
        </is>
      </c>
      <c r="F4" s="2" t="n">
        <v>1</v>
      </c>
      <c r="G4" s="6" t="n">
        <v>20300</v>
      </c>
      <c r="H4" s="6" t="n">
        <v>20120</v>
      </c>
      <c r="I4" s="2">
        <f>IF(OR(E4="",G4="",H4=""),"",IF(E4="Short",G4-H4,H4-G4))</f>
        <v/>
      </c>
      <c r="J4" s="6">
        <f>IF(I4="","",I4*F4*Settings!$B$3)</f>
        <v/>
      </c>
      <c r="K4" s="6" t="n">
        <v>120</v>
      </c>
      <c r="L4" s="6">
        <f>IF(J4="","",J4-K4)</f>
        <v/>
      </c>
      <c r="M4" s="6">
        <f>IF(C4="","",N3)</f>
        <v/>
      </c>
      <c r="N4" s="6">
        <f>IF(L4="","",M4+L4)</f>
        <v/>
      </c>
      <c r="O4" s="6">
        <f>IF(N4="","",MAX(Settings!$B$7,N$2:N4))</f>
        <v/>
      </c>
      <c r="P4" s="6">
        <f>IF(N4="","",N4-O4)</f>
        <v/>
      </c>
      <c r="Q4" s="2">
        <f>IF(L4="","",IF(L4&gt;0,"Win",IF(L4&lt;0,"Loss","Flat")))</f>
        <v/>
      </c>
      <c r="R4" s="2" t="inlineStr">
        <is>
          <t>Sample short plugin</t>
        </is>
      </c>
    </row>
    <row r="5">
      <c r="A5" s="2" t="n">
        <v>4</v>
      </c>
      <c r="B5" s="2" t="inlineStr">
        <is>
          <t>M15_NIGHT</t>
        </is>
      </c>
      <c r="C5" s="2" t="inlineStr">
        <is>
          <t>2026-01-15</t>
        </is>
      </c>
      <c r="D5" s="2" t="inlineStr">
        <is>
          <t>2026-01-15</t>
        </is>
      </c>
      <c r="E5" s="2" t="inlineStr">
        <is>
          <t>Long</t>
        </is>
      </c>
      <c r="F5" s="2" t="n">
        <v>1</v>
      </c>
      <c r="G5" s="6" t="n">
        <v>20550</v>
      </c>
      <c r="H5" s="6" t="n">
        <v>20720</v>
      </c>
      <c r="I5" s="2">
        <f>IF(OR(E5="",G5="",H5=""),"",IF(E5="Short",G5-H5,H5-G5))</f>
        <v/>
      </c>
      <c r="J5" s="6">
        <f>IF(I5="","",I5*F5*Settings!$B$3)</f>
        <v/>
      </c>
      <c r="K5" s="6" t="n">
        <v>120</v>
      </c>
      <c r="L5" s="6">
        <f>IF(J5="","",J5-K5)</f>
        <v/>
      </c>
      <c r="M5" s="6">
        <f>IF(C5="","",N4)</f>
        <v/>
      </c>
      <c r="N5" s="6">
        <f>IF(L5="","",M5+L5)</f>
        <v/>
      </c>
      <c r="O5" s="6">
        <f>IF(N5="","",MAX(Settings!$B$7,N$2:N5))</f>
        <v/>
      </c>
      <c r="P5" s="6">
        <f>IF(N5="","",N5-O5)</f>
        <v/>
      </c>
      <c r="Q5" s="2">
        <f>IF(L5="","",IF(L5&gt;0,"Win",IF(L5&lt;0,"Loss","Flat")))</f>
        <v/>
      </c>
      <c r="R5" s="2" t="inlineStr">
        <is>
          <t>Sample night trade</t>
        </is>
      </c>
    </row>
    <row r="6">
      <c r="A6" s="2" t="n">
        <v>5</v>
      </c>
      <c r="B6" s="2" t="inlineStr">
        <is>
          <t>DAY</t>
        </is>
      </c>
      <c r="C6" s="2" t="inlineStr">
        <is>
          <t>2026-01-20</t>
        </is>
      </c>
      <c r="D6" s="2" t="inlineStr">
        <is>
          <t>2026-01-24</t>
        </is>
      </c>
      <c r="E6" s="2" t="inlineStr">
        <is>
          <t>Long</t>
        </is>
      </c>
      <c r="F6" s="2" t="n">
        <v>1</v>
      </c>
      <c r="G6" s="6" t="n">
        <v>20800</v>
      </c>
      <c r="H6" s="6" t="n">
        <v>19880</v>
      </c>
      <c r="I6" s="2">
        <f>IF(OR(E6="",G6="",H6=""),"",IF(E6="Short",G6-H6,H6-G6))</f>
        <v/>
      </c>
      <c r="J6" s="6">
        <f>IF(I6="","",I6*F6*Settings!$B$3)</f>
        <v/>
      </c>
      <c r="K6" s="6" t="n">
        <v>120</v>
      </c>
      <c r="L6" s="6">
        <f>IF(J6="","",J6-K6)</f>
        <v/>
      </c>
      <c r="M6" s="6">
        <f>IF(C6="","",N5)</f>
        <v/>
      </c>
      <c r="N6" s="6">
        <f>IF(L6="","",M6+L6)</f>
        <v/>
      </c>
      <c r="O6" s="6">
        <f>IF(N6="","",MAX(Settings!$B$7,N$2:N6))</f>
        <v/>
      </c>
      <c r="P6" s="6">
        <f>IF(N6="","",N6-O6)</f>
        <v/>
      </c>
      <c r="Q6" s="2">
        <f>IF(L6="","",IF(L6&gt;0,"Win",IF(L6&lt;0,"Loss","Flat")))</f>
        <v/>
      </c>
      <c r="R6" s="2" t="inlineStr">
        <is>
          <t>Sample stop loss</t>
        </is>
      </c>
    </row>
    <row r="7">
      <c r="A7" s="2" t="n">
        <v>6</v>
      </c>
      <c r="B7" s="2" t="inlineStr">
        <is>
          <t>M15_NIGHT</t>
        </is>
      </c>
      <c r="C7" s="2" t="inlineStr">
        <is>
          <t>2026-02-03</t>
        </is>
      </c>
      <c r="D7" s="2" t="inlineStr">
        <is>
          <t>2026-02-03</t>
        </is>
      </c>
      <c r="E7" s="2" t="inlineStr">
        <is>
          <t>Long</t>
        </is>
      </c>
      <c r="F7" s="2" t="n">
        <v>1</v>
      </c>
      <c r="G7" s="6" t="n">
        <v>20100</v>
      </c>
      <c r="H7" s="6" t="n">
        <v>20380</v>
      </c>
      <c r="I7" s="2">
        <f>IF(OR(E7="",G7="",H7=""),"",IF(E7="Short",G7-H7,H7-G7))</f>
        <v/>
      </c>
      <c r="J7" s="6">
        <f>IF(I7="","",I7*F7*Settings!$B$3)</f>
        <v/>
      </c>
      <c r="K7" s="6" t="n">
        <v>120</v>
      </c>
      <c r="L7" s="6">
        <f>IF(J7="","",J7-K7)</f>
        <v/>
      </c>
      <c r="M7" s="6">
        <f>IF(C7="","",N6)</f>
        <v/>
      </c>
      <c r="N7" s="6">
        <f>IF(L7="","",M7+L7)</f>
        <v/>
      </c>
      <c r="O7" s="6">
        <f>IF(N7="","",MAX(Settings!$B$7,N$2:N7))</f>
        <v/>
      </c>
      <c r="P7" s="6">
        <f>IF(N7="","",N7-O7)</f>
        <v/>
      </c>
      <c r="Q7" s="2">
        <f>IF(L7="","",IF(L7&gt;0,"Win",IF(L7&lt;0,"Loss","Flat")))</f>
        <v/>
      </c>
      <c r="R7" s="2" t="inlineStr">
        <is>
          <t>Sample recovery</t>
        </is>
      </c>
    </row>
    <row r="8">
      <c r="A8" s="2" t="n">
        <v>7</v>
      </c>
      <c r="B8" s="2" t="inlineStr">
        <is>
          <t>DAY</t>
        </is>
      </c>
      <c r="C8" s="2" t="inlineStr">
        <is>
          <t>2026-02-10</t>
        </is>
      </c>
      <c r="D8" s="2" t="inlineStr">
        <is>
          <t>2026-02-18</t>
        </is>
      </c>
      <c r="E8" s="2" t="inlineStr">
        <is>
          <t>Long</t>
        </is>
      </c>
      <c r="F8" s="2" t="n">
        <v>1</v>
      </c>
      <c r="G8" s="6" t="n">
        <v>20400</v>
      </c>
      <c r="H8" s="6" t="n">
        <v>21980</v>
      </c>
      <c r="I8" s="2">
        <f>IF(OR(E8="",G8="",H8=""),"",IF(E8="Short",G8-H8,H8-G8))</f>
        <v/>
      </c>
      <c r="J8" s="6">
        <f>IF(I8="","",I8*F8*Settings!$B$3)</f>
        <v/>
      </c>
      <c r="K8" s="6" t="n">
        <v>120</v>
      </c>
      <c r="L8" s="6">
        <f>IF(J8="","",J8-K8)</f>
        <v/>
      </c>
      <c r="M8" s="6">
        <f>IF(C8="","",N7)</f>
        <v/>
      </c>
      <c r="N8" s="6">
        <f>IF(L8="","",M8+L8)</f>
        <v/>
      </c>
      <c r="O8" s="6">
        <f>IF(N8="","",MAX(Settings!$B$7,N$2:N8))</f>
        <v/>
      </c>
      <c r="P8" s="6">
        <f>IF(N8="","",N8-O8)</f>
        <v/>
      </c>
      <c r="Q8" s="2">
        <f>IF(L8="","",IF(L8&gt;0,"Win",IF(L8&lt;0,"Loss","Flat")))</f>
        <v/>
      </c>
      <c r="R8" s="2" t="inlineStr">
        <is>
          <t>Sample right tail</t>
        </is>
      </c>
    </row>
    <row r="9">
      <c r="A9" s="2" t="n">
        <v>8</v>
      </c>
      <c r="B9" s="2" t="inlineStr">
        <is>
          <t>T1O</t>
        </is>
      </c>
      <c r="C9" s="2" t="inlineStr">
        <is>
          <t>2026-02-21</t>
        </is>
      </c>
      <c r="D9" s="2" t="inlineStr">
        <is>
          <t>2026-02-21</t>
        </is>
      </c>
      <c r="E9" s="2" t="inlineStr">
        <is>
          <t>Short</t>
        </is>
      </c>
      <c r="F9" s="2" t="n">
        <v>2</v>
      </c>
      <c r="G9" s="6" t="n">
        <v>21850</v>
      </c>
      <c r="H9" s="6" t="n">
        <v>21670</v>
      </c>
      <c r="I9" s="2">
        <f>IF(OR(E9="",G9="",H9=""),"",IF(E9="Short",G9-H9,H9-G9))</f>
        <v/>
      </c>
      <c r="J9" s="6">
        <f>IF(I9="","",I9*F9*Settings!$B$3)</f>
        <v/>
      </c>
      <c r="K9" s="6" t="n">
        <v>240</v>
      </c>
      <c r="L9" s="6">
        <f>IF(J9="","",J9-K9)</f>
        <v/>
      </c>
      <c r="M9" s="6">
        <f>IF(C9="","",N8)</f>
        <v/>
      </c>
      <c r="N9" s="6">
        <f>IF(L9="","",M9+L9)</f>
        <v/>
      </c>
      <c r="O9" s="6">
        <f>IF(N9="","",MAX(Settings!$B$7,N$2:N9))</f>
        <v/>
      </c>
      <c r="P9" s="6">
        <f>IF(N9="","",N9-O9)</f>
        <v/>
      </c>
      <c r="Q9" s="2">
        <f>IF(L9="","",IF(L9&gt;0,"Win",IF(L9&lt;0,"Loss","Flat")))</f>
        <v/>
      </c>
      <c r="R9" s="2" t="inlineStr">
        <is>
          <t>Sample scaled trade</t>
        </is>
      </c>
    </row>
    <row r="10">
      <c r="A10" s="2" t="n">
        <v>9</v>
      </c>
      <c r="B10" s="2" t="inlineStr">
        <is>
          <t>M15_NIGHT</t>
        </is>
      </c>
      <c r="C10" s="2" t="inlineStr">
        <is>
          <t>2026-03-05</t>
        </is>
      </c>
      <c r="D10" s="2" t="inlineStr">
        <is>
          <t>2026-03-05</t>
        </is>
      </c>
      <c r="E10" s="2" t="inlineStr">
        <is>
          <t>Long</t>
        </is>
      </c>
      <c r="F10" s="2" t="n">
        <v>2</v>
      </c>
      <c r="G10" s="6" t="n">
        <v>22000</v>
      </c>
      <c r="H10" s="6" t="n">
        <v>21790</v>
      </c>
      <c r="I10" s="2">
        <f>IF(OR(E10="",G10="",H10=""),"",IF(E10="Short",G10-H10,H10-G10))</f>
        <v/>
      </c>
      <c r="J10" s="6">
        <f>IF(I10="","",I10*F10*Settings!$B$3)</f>
        <v/>
      </c>
      <c r="K10" s="6" t="n">
        <v>240</v>
      </c>
      <c r="L10" s="6">
        <f>IF(J10="","",J10-K10)</f>
        <v/>
      </c>
      <c r="M10" s="6">
        <f>IF(C10="","",N9)</f>
        <v/>
      </c>
      <c r="N10" s="6">
        <f>IF(L10="","",M10+L10)</f>
        <v/>
      </c>
      <c r="O10" s="6">
        <f>IF(N10="","",MAX(Settings!$B$7,N$2:N10))</f>
        <v/>
      </c>
      <c r="P10" s="6">
        <f>IF(N10="","",N10-O10)</f>
        <v/>
      </c>
      <c r="Q10" s="2">
        <f>IF(L10="","",IF(L10&gt;0,"Win",IF(L10&lt;0,"Loss","Flat")))</f>
        <v/>
      </c>
      <c r="R10" s="2" t="inlineStr">
        <is>
          <t>Sample cost included</t>
        </is>
      </c>
    </row>
    <row r="11">
      <c r="A11" s="2" t="n">
        <v>10</v>
      </c>
      <c r="B11" s="2" t="inlineStr">
        <is>
          <t>DAY</t>
        </is>
      </c>
      <c r="C11" s="2" t="inlineStr">
        <is>
          <t>2026-03-12</t>
        </is>
      </c>
      <c r="D11" s="2" t="inlineStr">
        <is>
          <t>2026-03-17</t>
        </is>
      </c>
      <c r="E11" s="2" t="inlineStr">
        <is>
          <t>Long</t>
        </is>
      </c>
      <c r="F11" s="2" t="n">
        <v>2</v>
      </c>
      <c r="G11" s="6" t="n">
        <v>22100</v>
      </c>
      <c r="H11" s="6" t="n">
        <v>22950</v>
      </c>
      <c r="I11" s="2">
        <f>IF(OR(E11="",G11="",H11=""),"",IF(E11="Short",G11-H11,H11-G11))</f>
        <v/>
      </c>
      <c r="J11" s="6">
        <f>IF(I11="","",I11*F11*Settings!$B$3)</f>
        <v/>
      </c>
      <c r="K11" s="6" t="n">
        <v>240</v>
      </c>
      <c r="L11" s="6">
        <f>IF(J11="","",J11-K11)</f>
        <v/>
      </c>
      <c r="M11" s="6">
        <f>IF(C11="","",N10)</f>
        <v/>
      </c>
      <c r="N11" s="6">
        <f>IF(L11="","",M11+L11)</f>
        <v/>
      </c>
      <c r="O11" s="6">
        <f>IF(N11="","",MAX(Settings!$B$7,N$2:N11))</f>
        <v/>
      </c>
      <c r="P11" s="6">
        <f>IF(N11="","",N11-O11)</f>
        <v/>
      </c>
      <c r="Q11" s="2">
        <f>IF(L11="","",IF(L11&gt;0,"Win",IF(L11&lt;0,"Loss","Flat")))</f>
        <v/>
      </c>
      <c r="R11" s="2" t="inlineStr">
        <is>
          <t>Sample trend continuation</t>
        </is>
      </c>
    </row>
    <row r="12">
      <c r="A12" s="2" t="n">
        <v>11</v>
      </c>
      <c r="B12" s="2" t="inlineStr">
        <is>
          <t>M15_NIGHT</t>
        </is>
      </c>
      <c r="C12" s="2" t="inlineStr">
        <is>
          <t>2026-03-25</t>
        </is>
      </c>
      <c r="D12" s="2" t="inlineStr">
        <is>
          <t>2026-03-25</t>
        </is>
      </c>
      <c r="E12" s="2" t="inlineStr">
        <is>
          <t>Long</t>
        </is>
      </c>
      <c r="F12" s="2" t="n">
        <v>2</v>
      </c>
      <c r="G12" s="6" t="n">
        <v>23000</v>
      </c>
      <c r="H12" s="6" t="n">
        <v>22820</v>
      </c>
      <c r="I12" s="2">
        <f>IF(OR(E12="",G12="",H12=""),"",IF(E12="Short",G12-H12,H12-G12))</f>
        <v/>
      </c>
      <c r="J12" s="6">
        <f>IF(I12="","",I12*F12*Settings!$B$3)</f>
        <v/>
      </c>
      <c r="K12" s="6" t="n">
        <v>240</v>
      </c>
      <c r="L12" s="6">
        <f>IF(J12="","",J12-K12)</f>
        <v/>
      </c>
      <c r="M12" s="6">
        <f>IF(C12="","",N11)</f>
        <v/>
      </c>
      <c r="N12" s="6">
        <f>IF(L12="","",M12+L12)</f>
        <v/>
      </c>
      <c r="O12" s="6">
        <f>IF(N12="","",MAX(Settings!$B$7,N$2:N12))</f>
        <v/>
      </c>
      <c r="P12" s="6">
        <f>IF(N12="","",N12-O12)</f>
        <v/>
      </c>
      <c r="Q12" s="2">
        <f>IF(L12="","",IF(L12&gt;0,"Win",IF(L12&lt;0,"Loss","Flat")))</f>
        <v/>
      </c>
      <c r="R12" s="2" t="inlineStr">
        <is>
          <t>Sample small loss</t>
        </is>
      </c>
    </row>
    <row r="13">
      <c r="A13" s="2" t="n">
        <v>12</v>
      </c>
      <c r="B13" s="2" t="inlineStr">
        <is>
          <t>T1O</t>
        </is>
      </c>
      <c r="C13" s="2" t="inlineStr">
        <is>
          <t>2026-04-02</t>
        </is>
      </c>
      <c r="D13" s="2" t="inlineStr">
        <is>
          <t>2026-04-02</t>
        </is>
      </c>
      <c r="E13" s="2" t="inlineStr">
        <is>
          <t>Short</t>
        </is>
      </c>
      <c r="F13" s="2" t="n">
        <v>2</v>
      </c>
      <c r="G13" s="6" t="n">
        <v>22750</v>
      </c>
      <c r="H13" s="6" t="n">
        <v>22480</v>
      </c>
      <c r="I13" s="2">
        <f>IF(OR(E13="",G13="",H13=""),"",IF(E13="Short",G13-H13,H13-G13))</f>
        <v/>
      </c>
      <c r="J13" s="6">
        <f>IF(I13="","",I13*F13*Settings!$B$3)</f>
        <v/>
      </c>
      <c r="K13" s="6" t="n">
        <v>240</v>
      </c>
      <c r="L13" s="6">
        <f>IF(J13="","",J13-K13)</f>
        <v/>
      </c>
      <c r="M13" s="6">
        <f>IF(C13="","",N12)</f>
        <v/>
      </c>
      <c r="N13" s="6">
        <f>IF(L13="","",M13+L13)</f>
        <v/>
      </c>
      <c r="O13" s="6">
        <f>IF(N13="","",MAX(Settings!$B$7,N$2:N13))</f>
        <v/>
      </c>
      <c r="P13" s="6">
        <f>IF(N13="","",N13-O13)</f>
        <v/>
      </c>
      <c r="Q13" s="2">
        <f>IF(L13="","",IF(L13&gt;0,"Win",IF(L13&lt;0,"Loss","Flat")))</f>
        <v/>
      </c>
      <c r="R13" s="2" t="inlineStr">
        <is>
          <t>Sample short gain</t>
        </is>
      </c>
    </row>
    <row r="14">
      <c r="A14" s="2">
        <f>IF(C14&lt;&gt;"",A13+1,"")</f>
        <v/>
      </c>
      <c r="B14" s="2" t="n"/>
      <c r="C14" s="2" t="n"/>
      <c r="D14" s="2" t="n"/>
      <c r="E14" s="2" t="n"/>
      <c r="F14" s="2" t="n"/>
      <c r="G14" s="6" t="n"/>
      <c r="H14" s="6" t="n"/>
      <c r="I14" s="2">
        <f>IF(OR(E14="",G14="",H14=""),"",IF(E14="Short",G14-H14,H14-G14))</f>
        <v/>
      </c>
      <c r="J14" s="6">
        <f>IF(I14="","",I14*F14*Settings!$B$3)</f>
        <v/>
      </c>
      <c r="K14" s="6" t="n"/>
      <c r="L14" s="6">
        <f>IF(J14="","",J14-K14)</f>
        <v/>
      </c>
      <c r="M14" s="6">
        <f>IF(C14="","",N13)</f>
        <v/>
      </c>
      <c r="N14" s="6">
        <f>IF(L14="","",M14+L14)</f>
        <v/>
      </c>
      <c r="O14" s="6">
        <f>IF(N14="","",MAX(Settings!$B$7,N$2:N14))</f>
        <v/>
      </c>
      <c r="P14" s="6">
        <f>IF(N14="","",N14-O14)</f>
        <v/>
      </c>
      <c r="Q14" s="2">
        <f>IF(L14="","",IF(L14&gt;0,"Win",IF(L14&lt;0,"Loss","Flat")))</f>
        <v/>
      </c>
      <c r="R14" s="2" t="n"/>
    </row>
    <row r="15">
      <c r="A15" s="2">
        <f>IF(C15&lt;&gt;"",A14+1,"")</f>
        <v/>
      </c>
      <c r="B15" s="2" t="n"/>
      <c r="C15" s="2" t="n"/>
      <c r="D15" s="2" t="n"/>
      <c r="E15" s="2" t="n"/>
      <c r="F15" s="2" t="n"/>
      <c r="G15" s="6" t="n"/>
      <c r="H15" s="6" t="n"/>
      <c r="I15" s="2">
        <f>IF(OR(E15="",G15="",H15=""),"",IF(E15="Short",G15-H15,H15-G15))</f>
        <v/>
      </c>
      <c r="J15" s="6">
        <f>IF(I15="","",I15*F15*Settings!$B$3)</f>
        <v/>
      </c>
      <c r="K15" s="6" t="n"/>
      <c r="L15" s="6">
        <f>IF(J15="","",J15-K15)</f>
        <v/>
      </c>
      <c r="M15" s="6">
        <f>IF(C15="","",N14)</f>
        <v/>
      </c>
      <c r="N15" s="6">
        <f>IF(L15="","",M15+L15)</f>
        <v/>
      </c>
      <c r="O15" s="6">
        <f>IF(N15="","",MAX(Settings!$B$7,N$2:N15))</f>
        <v/>
      </c>
      <c r="P15" s="6">
        <f>IF(N15="","",N15-O15)</f>
        <v/>
      </c>
      <c r="Q15" s="2">
        <f>IF(L15="","",IF(L15&gt;0,"Win",IF(L15&lt;0,"Loss","Flat")))</f>
        <v/>
      </c>
      <c r="R15" s="2" t="n"/>
    </row>
    <row r="16">
      <c r="A16" s="2">
        <f>IF(C16&lt;&gt;"",A15+1,"")</f>
        <v/>
      </c>
      <c r="B16" s="2" t="n"/>
      <c r="C16" s="2" t="n"/>
      <c r="D16" s="2" t="n"/>
      <c r="E16" s="2" t="n"/>
      <c r="F16" s="2" t="n"/>
      <c r="G16" s="6" t="n"/>
      <c r="H16" s="6" t="n"/>
      <c r="I16" s="2">
        <f>IF(OR(E16="",G16="",H16=""),"",IF(E16="Short",G16-H16,H16-G16))</f>
        <v/>
      </c>
      <c r="J16" s="6">
        <f>IF(I16="","",I16*F16*Settings!$B$3)</f>
        <v/>
      </c>
      <c r="K16" s="6" t="n"/>
      <c r="L16" s="6">
        <f>IF(J16="","",J16-K16)</f>
        <v/>
      </c>
      <c r="M16" s="6">
        <f>IF(C16="","",N15)</f>
        <v/>
      </c>
      <c r="N16" s="6">
        <f>IF(L16="","",M16+L16)</f>
        <v/>
      </c>
      <c r="O16" s="6">
        <f>IF(N16="","",MAX(Settings!$B$7,N$2:N16))</f>
        <v/>
      </c>
      <c r="P16" s="6">
        <f>IF(N16="","",N16-O16)</f>
        <v/>
      </c>
      <c r="Q16" s="2">
        <f>IF(L16="","",IF(L16&gt;0,"Win",IF(L16&lt;0,"Loss","Flat")))</f>
        <v/>
      </c>
      <c r="R16" s="2" t="n"/>
    </row>
    <row r="17">
      <c r="A17" s="2">
        <f>IF(C17&lt;&gt;"",A16+1,"")</f>
        <v/>
      </c>
      <c r="B17" s="2" t="n"/>
      <c r="C17" s="2" t="n"/>
      <c r="D17" s="2" t="n"/>
      <c r="E17" s="2" t="n"/>
      <c r="F17" s="2" t="n"/>
      <c r="G17" s="6" t="n"/>
      <c r="H17" s="6" t="n"/>
      <c r="I17" s="2">
        <f>IF(OR(E17="",G17="",H17=""),"",IF(E17="Short",G17-H17,H17-G17))</f>
        <v/>
      </c>
      <c r="J17" s="6">
        <f>IF(I17="","",I17*F17*Settings!$B$3)</f>
        <v/>
      </c>
      <c r="K17" s="6" t="n"/>
      <c r="L17" s="6">
        <f>IF(J17="","",J17-K17)</f>
        <v/>
      </c>
      <c r="M17" s="6">
        <f>IF(C17="","",N16)</f>
        <v/>
      </c>
      <c r="N17" s="6">
        <f>IF(L17="","",M17+L17)</f>
        <v/>
      </c>
      <c r="O17" s="6">
        <f>IF(N17="","",MAX(Settings!$B$7,N$2:N17))</f>
        <v/>
      </c>
      <c r="P17" s="6">
        <f>IF(N17="","",N17-O17)</f>
        <v/>
      </c>
      <c r="Q17" s="2">
        <f>IF(L17="","",IF(L17&gt;0,"Win",IF(L17&lt;0,"Loss","Flat")))</f>
        <v/>
      </c>
      <c r="R17" s="2" t="n"/>
    </row>
    <row r="18">
      <c r="A18" s="2">
        <f>IF(C18&lt;&gt;"",A17+1,"")</f>
        <v/>
      </c>
      <c r="B18" s="2" t="n"/>
      <c r="C18" s="2" t="n"/>
      <c r="D18" s="2" t="n"/>
      <c r="E18" s="2" t="n"/>
      <c r="F18" s="2" t="n"/>
      <c r="G18" s="6" t="n"/>
      <c r="H18" s="6" t="n"/>
      <c r="I18" s="2">
        <f>IF(OR(E18="",G18="",H18=""),"",IF(E18="Short",G18-H18,H18-G18))</f>
        <v/>
      </c>
      <c r="J18" s="6">
        <f>IF(I18="","",I18*F18*Settings!$B$3)</f>
        <v/>
      </c>
      <c r="K18" s="6" t="n"/>
      <c r="L18" s="6">
        <f>IF(J18="","",J18-K18)</f>
        <v/>
      </c>
      <c r="M18" s="6">
        <f>IF(C18="","",N17)</f>
        <v/>
      </c>
      <c r="N18" s="6">
        <f>IF(L18="","",M18+L18)</f>
        <v/>
      </c>
      <c r="O18" s="6">
        <f>IF(N18="","",MAX(Settings!$B$7,N$2:N18))</f>
        <v/>
      </c>
      <c r="P18" s="6">
        <f>IF(N18="","",N18-O18)</f>
        <v/>
      </c>
      <c r="Q18" s="2">
        <f>IF(L18="","",IF(L18&gt;0,"Win",IF(L18&lt;0,"Loss","Flat")))</f>
        <v/>
      </c>
      <c r="R18" s="2" t="n"/>
    </row>
    <row r="19">
      <c r="A19" s="2">
        <f>IF(C19&lt;&gt;"",A18+1,"")</f>
        <v/>
      </c>
      <c r="B19" s="2" t="n"/>
      <c r="C19" s="2" t="n"/>
      <c r="D19" s="2" t="n"/>
      <c r="E19" s="2" t="n"/>
      <c r="F19" s="2" t="n"/>
      <c r="G19" s="6" t="n"/>
      <c r="H19" s="6" t="n"/>
      <c r="I19" s="2">
        <f>IF(OR(E19="",G19="",H19=""),"",IF(E19="Short",G19-H19,H19-G19))</f>
        <v/>
      </c>
      <c r="J19" s="6">
        <f>IF(I19="","",I19*F19*Settings!$B$3)</f>
        <v/>
      </c>
      <c r="K19" s="6" t="n"/>
      <c r="L19" s="6">
        <f>IF(J19="","",J19-K19)</f>
        <v/>
      </c>
      <c r="M19" s="6">
        <f>IF(C19="","",N18)</f>
        <v/>
      </c>
      <c r="N19" s="6">
        <f>IF(L19="","",M19+L19)</f>
        <v/>
      </c>
      <c r="O19" s="6">
        <f>IF(N19="","",MAX(Settings!$B$7,N$2:N19))</f>
        <v/>
      </c>
      <c r="P19" s="6">
        <f>IF(N19="","",N19-O19)</f>
        <v/>
      </c>
      <c r="Q19" s="2">
        <f>IF(L19="","",IF(L19&gt;0,"Win",IF(L19&lt;0,"Loss","Flat")))</f>
        <v/>
      </c>
      <c r="R19" s="2" t="n"/>
    </row>
    <row r="20">
      <c r="A20" s="2">
        <f>IF(C20&lt;&gt;"",A19+1,"")</f>
        <v/>
      </c>
      <c r="B20" s="2" t="n"/>
      <c r="C20" s="2" t="n"/>
      <c r="D20" s="2" t="n"/>
      <c r="E20" s="2" t="n"/>
      <c r="F20" s="2" t="n"/>
      <c r="G20" s="6" t="n"/>
      <c r="H20" s="6" t="n"/>
      <c r="I20" s="2">
        <f>IF(OR(E20="",G20="",H20=""),"",IF(E20="Short",G20-H20,H20-G20))</f>
        <v/>
      </c>
      <c r="J20" s="6">
        <f>IF(I20="","",I20*F20*Settings!$B$3)</f>
        <v/>
      </c>
      <c r="K20" s="6" t="n"/>
      <c r="L20" s="6">
        <f>IF(J20="","",J20-K20)</f>
        <v/>
      </c>
      <c r="M20" s="6">
        <f>IF(C20="","",N19)</f>
        <v/>
      </c>
      <c r="N20" s="6">
        <f>IF(L20="","",M20+L20)</f>
        <v/>
      </c>
      <c r="O20" s="6">
        <f>IF(N20="","",MAX(Settings!$B$7,N$2:N20))</f>
        <v/>
      </c>
      <c r="P20" s="6">
        <f>IF(N20="","",N20-O20)</f>
        <v/>
      </c>
      <c r="Q20" s="2">
        <f>IF(L20="","",IF(L20&gt;0,"Win",IF(L20&lt;0,"Loss","Flat")))</f>
        <v/>
      </c>
      <c r="R20" s="2" t="n"/>
    </row>
    <row r="21">
      <c r="A21" s="2">
        <f>IF(C21&lt;&gt;"",A20+1,"")</f>
        <v/>
      </c>
      <c r="B21" s="2" t="n"/>
      <c r="C21" s="2" t="n"/>
      <c r="D21" s="2" t="n"/>
      <c r="E21" s="2" t="n"/>
      <c r="F21" s="2" t="n"/>
      <c r="G21" s="6" t="n"/>
      <c r="H21" s="6" t="n"/>
      <c r="I21" s="2">
        <f>IF(OR(E21="",G21="",H21=""),"",IF(E21="Short",G21-H21,H21-G21))</f>
        <v/>
      </c>
      <c r="J21" s="6">
        <f>IF(I21="","",I21*F21*Settings!$B$3)</f>
        <v/>
      </c>
      <c r="K21" s="6" t="n"/>
      <c r="L21" s="6">
        <f>IF(J21="","",J21-K21)</f>
        <v/>
      </c>
      <c r="M21" s="6">
        <f>IF(C21="","",N20)</f>
        <v/>
      </c>
      <c r="N21" s="6">
        <f>IF(L21="","",M21+L21)</f>
        <v/>
      </c>
      <c r="O21" s="6">
        <f>IF(N21="","",MAX(Settings!$B$7,N$2:N21))</f>
        <v/>
      </c>
      <c r="P21" s="6">
        <f>IF(N21="","",N21-O21)</f>
        <v/>
      </c>
      <c r="Q21" s="2">
        <f>IF(L21="","",IF(L21&gt;0,"Win",IF(L21&lt;0,"Loss","Flat")))</f>
        <v/>
      </c>
      <c r="R21" s="2" t="n"/>
    </row>
    <row r="22">
      <c r="A22" s="2">
        <f>IF(C22&lt;&gt;"",A21+1,"")</f>
        <v/>
      </c>
      <c r="B22" s="2" t="n"/>
      <c r="C22" s="2" t="n"/>
      <c r="D22" s="2" t="n"/>
      <c r="E22" s="2" t="n"/>
      <c r="F22" s="2" t="n"/>
      <c r="G22" s="6" t="n"/>
      <c r="H22" s="6" t="n"/>
      <c r="I22" s="2">
        <f>IF(OR(E22="",G22="",H22=""),"",IF(E22="Short",G22-H22,H22-G22))</f>
        <v/>
      </c>
      <c r="J22" s="6">
        <f>IF(I22="","",I22*F22*Settings!$B$3)</f>
        <v/>
      </c>
      <c r="K22" s="6" t="n"/>
      <c r="L22" s="6">
        <f>IF(J22="","",J22-K22)</f>
        <v/>
      </c>
      <c r="M22" s="6">
        <f>IF(C22="","",N21)</f>
        <v/>
      </c>
      <c r="N22" s="6">
        <f>IF(L22="","",M22+L22)</f>
        <v/>
      </c>
      <c r="O22" s="6">
        <f>IF(N22="","",MAX(Settings!$B$7,N$2:N22))</f>
        <v/>
      </c>
      <c r="P22" s="6">
        <f>IF(N22="","",N22-O22)</f>
        <v/>
      </c>
      <c r="Q22" s="2">
        <f>IF(L22="","",IF(L22&gt;0,"Win",IF(L22&lt;0,"Loss","Flat")))</f>
        <v/>
      </c>
      <c r="R22" s="2" t="n"/>
    </row>
    <row r="23">
      <c r="A23" s="2">
        <f>IF(C23&lt;&gt;"",A22+1,"")</f>
        <v/>
      </c>
      <c r="B23" s="2" t="n"/>
      <c r="C23" s="2" t="n"/>
      <c r="D23" s="2" t="n"/>
      <c r="E23" s="2" t="n"/>
      <c r="F23" s="2" t="n"/>
      <c r="G23" s="6" t="n"/>
      <c r="H23" s="6" t="n"/>
      <c r="I23" s="2">
        <f>IF(OR(E23="",G23="",H23=""),"",IF(E23="Short",G23-H23,H23-G23))</f>
        <v/>
      </c>
      <c r="J23" s="6">
        <f>IF(I23="","",I23*F23*Settings!$B$3)</f>
        <v/>
      </c>
      <c r="K23" s="6" t="n"/>
      <c r="L23" s="6">
        <f>IF(J23="","",J23-K23)</f>
        <v/>
      </c>
      <c r="M23" s="6">
        <f>IF(C23="","",N22)</f>
        <v/>
      </c>
      <c r="N23" s="6">
        <f>IF(L23="","",M23+L23)</f>
        <v/>
      </c>
      <c r="O23" s="6">
        <f>IF(N23="","",MAX(Settings!$B$7,N$2:N23))</f>
        <v/>
      </c>
      <c r="P23" s="6">
        <f>IF(N23="","",N23-O23)</f>
        <v/>
      </c>
      <c r="Q23" s="2">
        <f>IF(L23="","",IF(L23&gt;0,"Win",IF(L23&lt;0,"Loss","Flat")))</f>
        <v/>
      </c>
      <c r="R23" s="2" t="n"/>
    </row>
    <row r="24">
      <c r="A24" s="2">
        <f>IF(C24&lt;&gt;"",A23+1,"")</f>
        <v/>
      </c>
      <c r="B24" s="2" t="n"/>
      <c r="C24" s="2" t="n"/>
      <c r="D24" s="2" t="n"/>
      <c r="E24" s="2" t="n"/>
      <c r="F24" s="2" t="n"/>
      <c r="G24" s="6" t="n"/>
      <c r="H24" s="6" t="n"/>
      <c r="I24" s="2">
        <f>IF(OR(E24="",G24="",H24=""),"",IF(E24="Short",G24-H24,H24-G24))</f>
        <v/>
      </c>
      <c r="J24" s="6">
        <f>IF(I24="","",I24*F24*Settings!$B$3)</f>
        <v/>
      </c>
      <c r="K24" s="6" t="n"/>
      <c r="L24" s="6">
        <f>IF(J24="","",J24-K24)</f>
        <v/>
      </c>
      <c r="M24" s="6">
        <f>IF(C24="","",N23)</f>
        <v/>
      </c>
      <c r="N24" s="6">
        <f>IF(L24="","",M24+L24)</f>
        <v/>
      </c>
      <c r="O24" s="6">
        <f>IF(N24="","",MAX(Settings!$B$7,N$2:N24))</f>
        <v/>
      </c>
      <c r="P24" s="6">
        <f>IF(N24="","",N24-O24)</f>
        <v/>
      </c>
      <c r="Q24" s="2">
        <f>IF(L24="","",IF(L24&gt;0,"Win",IF(L24&lt;0,"Loss","Flat")))</f>
        <v/>
      </c>
      <c r="R24" s="2" t="n"/>
    </row>
    <row r="25">
      <c r="A25" s="2">
        <f>IF(C25&lt;&gt;"",A24+1,"")</f>
        <v/>
      </c>
      <c r="B25" s="2" t="n"/>
      <c r="C25" s="2" t="n"/>
      <c r="D25" s="2" t="n"/>
      <c r="E25" s="2" t="n"/>
      <c r="F25" s="2" t="n"/>
      <c r="G25" s="6" t="n"/>
      <c r="H25" s="6" t="n"/>
      <c r="I25" s="2">
        <f>IF(OR(E25="",G25="",H25=""),"",IF(E25="Short",G25-H25,H25-G25))</f>
        <v/>
      </c>
      <c r="J25" s="6">
        <f>IF(I25="","",I25*F25*Settings!$B$3)</f>
        <v/>
      </c>
      <c r="K25" s="6" t="n"/>
      <c r="L25" s="6">
        <f>IF(J25="","",J25-K25)</f>
        <v/>
      </c>
      <c r="M25" s="6">
        <f>IF(C25="","",N24)</f>
        <v/>
      </c>
      <c r="N25" s="6">
        <f>IF(L25="","",M25+L25)</f>
        <v/>
      </c>
      <c r="O25" s="6">
        <f>IF(N25="","",MAX(Settings!$B$7,N$2:N25))</f>
        <v/>
      </c>
      <c r="P25" s="6">
        <f>IF(N25="","",N25-O25)</f>
        <v/>
      </c>
      <c r="Q25" s="2">
        <f>IF(L25="","",IF(L25&gt;0,"Win",IF(L25&lt;0,"Loss","Flat")))</f>
        <v/>
      </c>
      <c r="R25" s="2" t="n"/>
    </row>
    <row r="26">
      <c r="A26" s="2">
        <f>IF(C26&lt;&gt;"",A25+1,"")</f>
        <v/>
      </c>
      <c r="B26" s="2" t="n"/>
      <c r="C26" s="2" t="n"/>
      <c r="D26" s="2" t="n"/>
      <c r="E26" s="2" t="n"/>
      <c r="F26" s="2" t="n"/>
      <c r="G26" s="6" t="n"/>
      <c r="H26" s="6" t="n"/>
      <c r="I26" s="2">
        <f>IF(OR(E26="",G26="",H26=""),"",IF(E26="Short",G26-H26,H26-G26))</f>
        <v/>
      </c>
      <c r="J26" s="6">
        <f>IF(I26="","",I26*F26*Settings!$B$3)</f>
        <v/>
      </c>
      <c r="K26" s="6" t="n"/>
      <c r="L26" s="6">
        <f>IF(J26="","",J26-K26)</f>
        <v/>
      </c>
      <c r="M26" s="6">
        <f>IF(C26="","",N25)</f>
        <v/>
      </c>
      <c r="N26" s="6">
        <f>IF(L26="","",M26+L26)</f>
        <v/>
      </c>
      <c r="O26" s="6">
        <f>IF(N26="","",MAX(Settings!$B$7,N$2:N26))</f>
        <v/>
      </c>
      <c r="P26" s="6">
        <f>IF(N26="","",N26-O26)</f>
        <v/>
      </c>
      <c r="Q26" s="2">
        <f>IF(L26="","",IF(L26&gt;0,"Win",IF(L26&lt;0,"Loss","Flat")))</f>
        <v/>
      </c>
      <c r="R26" s="2" t="n"/>
    </row>
    <row r="27">
      <c r="A27" s="2">
        <f>IF(C27&lt;&gt;"",A26+1,"")</f>
        <v/>
      </c>
      <c r="B27" s="2" t="n"/>
      <c r="C27" s="2" t="n"/>
      <c r="D27" s="2" t="n"/>
      <c r="E27" s="2" t="n"/>
      <c r="F27" s="2" t="n"/>
      <c r="G27" s="6" t="n"/>
      <c r="H27" s="6" t="n"/>
      <c r="I27" s="2">
        <f>IF(OR(E27="",G27="",H27=""),"",IF(E27="Short",G27-H27,H27-G27))</f>
        <v/>
      </c>
      <c r="J27" s="6">
        <f>IF(I27="","",I27*F27*Settings!$B$3)</f>
        <v/>
      </c>
      <c r="K27" s="6" t="n"/>
      <c r="L27" s="6">
        <f>IF(J27="","",J27-K27)</f>
        <v/>
      </c>
      <c r="M27" s="6">
        <f>IF(C27="","",N26)</f>
        <v/>
      </c>
      <c r="N27" s="6">
        <f>IF(L27="","",M27+L27)</f>
        <v/>
      </c>
      <c r="O27" s="6">
        <f>IF(N27="","",MAX(Settings!$B$7,N$2:N27))</f>
        <v/>
      </c>
      <c r="P27" s="6">
        <f>IF(N27="","",N27-O27)</f>
        <v/>
      </c>
      <c r="Q27" s="2">
        <f>IF(L27="","",IF(L27&gt;0,"Win",IF(L27&lt;0,"Loss","Flat")))</f>
        <v/>
      </c>
      <c r="R27" s="2" t="n"/>
    </row>
    <row r="28">
      <c r="A28" s="2">
        <f>IF(C28&lt;&gt;"",A27+1,"")</f>
        <v/>
      </c>
      <c r="B28" s="2" t="n"/>
      <c r="C28" s="2" t="n"/>
      <c r="D28" s="2" t="n"/>
      <c r="E28" s="2" t="n"/>
      <c r="F28" s="2" t="n"/>
      <c r="G28" s="6" t="n"/>
      <c r="H28" s="6" t="n"/>
      <c r="I28" s="2">
        <f>IF(OR(E28="",G28="",H28=""),"",IF(E28="Short",G28-H28,H28-G28))</f>
        <v/>
      </c>
      <c r="J28" s="6">
        <f>IF(I28="","",I28*F28*Settings!$B$3)</f>
        <v/>
      </c>
      <c r="K28" s="6" t="n"/>
      <c r="L28" s="6">
        <f>IF(J28="","",J28-K28)</f>
        <v/>
      </c>
      <c r="M28" s="6">
        <f>IF(C28="","",N27)</f>
        <v/>
      </c>
      <c r="N28" s="6">
        <f>IF(L28="","",M28+L28)</f>
        <v/>
      </c>
      <c r="O28" s="6">
        <f>IF(N28="","",MAX(Settings!$B$7,N$2:N28))</f>
        <v/>
      </c>
      <c r="P28" s="6">
        <f>IF(N28="","",N28-O28)</f>
        <v/>
      </c>
      <c r="Q28" s="2">
        <f>IF(L28="","",IF(L28&gt;0,"Win",IF(L28&lt;0,"Loss","Flat")))</f>
        <v/>
      </c>
      <c r="R28" s="2" t="n"/>
    </row>
    <row r="29">
      <c r="A29" s="2">
        <f>IF(C29&lt;&gt;"",A28+1,"")</f>
        <v/>
      </c>
      <c r="B29" s="2" t="n"/>
      <c r="C29" s="2" t="n"/>
      <c r="D29" s="2" t="n"/>
      <c r="E29" s="2" t="n"/>
      <c r="F29" s="2" t="n"/>
      <c r="G29" s="6" t="n"/>
      <c r="H29" s="6" t="n"/>
      <c r="I29" s="2">
        <f>IF(OR(E29="",G29="",H29=""),"",IF(E29="Short",G29-H29,H29-G29))</f>
        <v/>
      </c>
      <c r="J29" s="6">
        <f>IF(I29="","",I29*F29*Settings!$B$3)</f>
        <v/>
      </c>
      <c r="K29" s="6" t="n"/>
      <c r="L29" s="6">
        <f>IF(J29="","",J29-K29)</f>
        <v/>
      </c>
      <c r="M29" s="6">
        <f>IF(C29="","",N28)</f>
        <v/>
      </c>
      <c r="N29" s="6">
        <f>IF(L29="","",M29+L29)</f>
        <v/>
      </c>
      <c r="O29" s="6">
        <f>IF(N29="","",MAX(Settings!$B$7,N$2:N29))</f>
        <v/>
      </c>
      <c r="P29" s="6">
        <f>IF(N29="","",N29-O29)</f>
        <v/>
      </c>
      <c r="Q29" s="2">
        <f>IF(L29="","",IF(L29&gt;0,"Win",IF(L29&lt;0,"Loss","Flat")))</f>
        <v/>
      </c>
      <c r="R29" s="2" t="n"/>
    </row>
    <row r="30">
      <c r="A30" s="2">
        <f>IF(C30&lt;&gt;"",A29+1,"")</f>
        <v/>
      </c>
      <c r="B30" s="2" t="n"/>
      <c r="C30" s="2" t="n"/>
      <c r="D30" s="2" t="n"/>
      <c r="E30" s="2" t="n"/>
      <c r="F30" s="2" t="n"/>
      <c r="G30" s="6" t="n"/>
      <c r="H30" s="6" t="n"/>
      <c r="I30" s="2">
        <f>IF(OR(E30="",G30="",H30=""),"",IF(E30="Short",G30-H30,H30-G30))</f>
        <v/>
      </c>
      <c r="J30" s="6">
        <f>IF(I30="","",I30*F30*Settings!$B$3)</f>
        <v/>
      </c>
      <c r="K30" s="6" t="n"/>
      <c r="L30" s="6">
        <f>IF(J30="","",J30-K30)</f>
        <v/>
      </c>
      <c r="M30" s="6">
        <f>IF(C30="","",N29)</f>
        <v/>
      </c>
      <c r="N30" s="6">
        <f>IF(L30="","",M30+L30)</f>
        <v/>
      </c>
      <c r="O30" s="6">
        <f>IF(N30="","",MAX(Settings!$B$7,N$2:N30))</f>
        <v/>
      </c>
      <c r="P30" s="6">
        <f>IF(N30="","",N30-O30)</f>
        <v/>
      </c>
      <c r="Q30" s="2">
        <f>IF(L30="","",IF(L30&gt;0,"Win",IF(L30&lt;0,"Loss","Flat")))</f>
        <v/>
      </c>
      <c r="R30" s="2" t="n"/>
    </row>
    <row r="31">
      <c r="A31" s="2">
        <f>IF(C31&lt;&gt;"",A30+1,"")</f>
        <v/>
      </c>
      <c r="B31" s="2" t="n"/>
      <c r="C31" s="2" t="n"/>
      <c r="D31" s="2" t="n"/>
      <c r="E31" s="2" t="n"/>
      <c r="F31" s="2" t="n"/>
      <c r="G31" s="6" t="n"/>
      <c r="H31" s="6" t="n"/>
      <c r="I31" s="2">
        <f>IF(OR(E31="",G31="",H31=""),"",IF(E31="Short",G31-H31,H31-G31))</f>
        <v/>
      </c>
      <c r="J31" s="6">
        <f>IF(I31="","",I31*F31*Settings!$B$3)</f>
        <v/>
      </c>
      <c r="K31" s="6" t="n"/>
      <c r="L31" s="6">
        <f>IF(J31="","",J31-K31)</f>
        <v/>
      </c>
      <c r="M31" s="6">
        <f>IF(C31="","",N30)</f>
        <v/>
      </c>
      <c r="N31" s="6">
        <f>IF(L31="","",M31+L31)</f>
        <v/>
      </c>
      <c r="O31" s="6">
        <f>IF(N31="","",MAX(Settings!$B$7,N$2:N31))</f>
        <v/>
      </c>
      <c r="P31" s="6">
        <f>IF(N31="","",N31-O31)</f>
        <v/>
      </c>
      <c r="Q31" s="2">
        <f>IF(L31="","",IF(L31&gt;0,"Win",IF(L31&lt;0,"Loss","Flat")))</f>
        <v/>
      </c>
      <c r="R31" s="2" t="n"/>
    </row>
    <row r="32">
      <c r="A32" s="2">
        <f>IF(C32&lt;&gt;"",A31+1,"")</f>
        <v/>
      </c>
      <c r="B32" s="2" t="n"/>
      <c r="C32" s="2" t="n"/>
      <c r="D32" s="2" t="n"/>
      <c r="E32" s="2" t="n"/>
      <c r="F32" s="2" t="n"/>
      <c r="G32" s="6" t="n"/>
      <c r="H32" s="6" t="n"/>
      <c r="I32" s="2">
        <f>IF(OR(E32="",G32="",H32=""),"",IF(E32="Short",G32-H32,H32-G32))</f>
        <v/>
      </c>
      <c r="J32" s="6">
        <f>IF(I32="","",I32*F32*Settings!$B$3)</f>
        <v/>
      </c>
      <c r="K32" s="6" t="n"/>
      <c r="L32" s="6">
        <f>IF(J32="","",J32-K32)</f>
        <v/>
      </c>
      <c r="M32" s="6">
        <f>IF(C32="","",N31)</f>
        <v/>
      </c>
      <c r="N32" s="6">
        <f>IF(L32="","",M32+L32)</f>
        <v/>
      </c>
      <c r="O32" s="6">
        <f>IF(N32="","",MAX(Settings!$B$7,N$2:N32))</f>
        <v/>
      </c>
      <c r="P32" s="6">
        <f>IF(N32="","",N32-O32)</f>
        <v/>
      </c>
      <c r="Q32" s="2">
        <f>IF(L32="","",IF(L32&gt;0,"Win",IF(L32&lt;0,"Loss","Flat")))</f>
        <v/>
      </c>
      <c r="R32" s="2" t="n"/>
    </row>
    <row r="33">
      <c r="A33" s="2">
        <f>IF(C33&lt;&gt;"",A32+1,"")</f>
        <v/>
      </c>
      <c r="B33" s="2" t="n"/>
      <c r="C33" s="2" t="n"/>
      <c r="D33" s="2" t="n"/>
      <c r="E33" s="2" t="n"/>
      <c r="F33" s="2" t="n"/>
      <c r="G33" s="6" t="n"/>
      <c r="H33" s="6" t="n"/>
      <c r="I33" s="2">
        <f>IF(OR(E33="",G33="",H33=""),"",IF(E33="Short",G33-H33,H33-G33))</f>
        <v/>
      </c>
      <c r="J33" s="6">
        <f>IF(I33="","",I33*F33*Settings!$B$3)</f>
        <v/>
      </c>
      <c r="K33" s="6" t="n"/>
      <c r="L33" s="6">
        <f>IF(J33="","",J33-K33)</f>
        <v/>
      </c>
      <c r="M33" s="6">
        <f>IF(C33="","",N32)</f>
        <v/>
      </c>
      <c r="N33" s="6">
        <f>IF(L33="","",M33+L33)</f>
        <v/>
      </c>
      <c r="O33" s="6">
        <f>IF(N33="","",MAX(Settings!$B$7,N$2:N33))</f>
        <v/>
      </c>
      <c r="P33" s="6">
        <f>IF(N33="","",N33-O33)</f>
        <v/>
      </c>
      <c r="Q33" s="2">
        <f>IF(L33="","",IF(L33&gt;0,"Win",IF(L33&lt;0,"Loss","Flat")))</f>
        <v/>
      </c>
      <c r="R33" s="2" t="n"/>
    </row>
    <row r="34">
      <c r="A34" s="2">
        <f>IF(C34&lt;&gt;"",A33+1,"")</f>
        <v/>
      </c>
      <c r="B34" s="2" t="n"/>
      <c r="C34" s="2" t="n"/>
      <c r="D34" s="2" t="n"/>
      <c r="E34" s="2" t="n"/>
      <c r="F34" s="2" t="n"/>
      <c r="G34" s="6" t="n"/>
      <c r="H34" s="6" t="n"/>
      <c r="I34" s="2">
        <f>IF(OR(E34="",G34="",H34=""),"",IF(E34="Short",G34-H34,H34-G34))</f>
        <v/>
      </c>
      <c r="J34" s="6">
        <f>IF(I34="","",I34*F34*Settings!$B$3)</f>
        <v/>
      </c>
      <c r="K34" s="6" t="n"/>
      <c r="L34" s="6">
        <f>IF(J34="","",J34-K34)</f>
        <v/>
      </c>
      <c r="M34" s="6">
        <f>IF(C34="","",N33)</f>
        <v/>
      </c>
      <c r="N34" s="6">
        <f>IF(L34="","",M34+L34)</f>
        <v/>
      </c>
      <c r="O34" s="6">
        <f>IF(N34="","",MAX(Settings!$B$7,N$2:N34))</f>
        <v/>
      </c>
      <c r="P34" s="6">
        <f>IF(N34="","",N34-O34)</f>
        <v/>
      </c>
      <c r="Q34" s="2">
        <f>IF(L34="","",IF(L34&gt;0,"Win",IF(L34&lt;0,"Loss","Flat")))</f>
        <v/>
      </c>
      <c r="R34" s="2" t="n"/>
    </row>
    <row r="35">
      <c r="A35" s="2">
        <f>IF(C35&lt;&gt;"",A34+1,"")</f>
        <v/>
      </c>
      <c r="B35" s="2" t="n"/>
      <c r="C35" s="2" t="n"/>
      <c r="D35" s="2" t="n"/>
      <c r="E35" s="2" t="n"/>
      <c r="F35" s="2" t="n"/>
      <c r="G35" s="6" t="n"/>
      <c r="H35" s="6" t="n"/>
      <c r="I35" s="2">
        <f>IF(OR(E35="",G35="",H35=""),"",IF(E35="Short",G35-H35,H35-G35))</f>
        <v/>
      </c>
      <c r="J35" s="6">
        <f>IF(I35="","",I35*F35*Settings!$B$3)</f>
        <v/>
      </c>
      <c r="K35" s="6" t="n"/>
      <c r="L35" s="6">
        <f>IF(J35="","",J35-K35)</f>
        <v/>
      </c>
      <c r="M35" s="6">
        <f>IF(C35="","",N34)</f>
        <v/>
      </c>
      <c r="N35" s="6">
        <f>IF(L35="","",M35+L35)</f>
        <v/>
      </c>
      <c r="O35" s="6">
        <f>IF(N35="","",MAX(Settings!$B$7,N$2:N35))</f>
        <v/>
      </c>
      <c r="P35" s="6">
        <f>IF(N35="","",N35-O35)</f>
        <v/>
      </c>
      <c r="Q35" s="2">
        <f>IF(L35="","",IF(L35&gt;0,"Win",IF(L35&lt;0,"Loss","Flat")))</f>
        <v/>
      </c>
      <c r="R35" s="2" t="n"/>
    </row>
    <row r="36">
      <c r="A36" s="2">
        <f>IF(C36&lt;&gt;"",A35+1,"")</f>
        <v/>
      </c>
      <c r="B36" s="2" t="n"/>
      <c r="C36" s="2" t="n"/>
      <c r="D36" s="2" t="n"/>
      <c r="E36" s="2" t="n"/>
      <c r="F36" s="2" t="n"/>
      <c r="G36" s="6" t="n"/>
      <c r="H36" s="6" t="n"/>
      <c r="I36" s="2">
        <f>IF(OR(E36="",G36="",H36=""),"",IF(E36="Short",G36-H36,H36-G36))</f>
        <v/>
      </c>
      <c r="J36" s="6">
        <f>IF(I36="","",I36*F36*Settings!$B$3)</f>
        <v/>
      </c>
      <c r="K36" s="6" t="n"/>
      <c r="L36" s="6">
        <f>IF(J36="","",J36-K36)</f>
        <v/>
      </c>
      <c r="M36" s="6">
        <f>IF(C36="","",N35)</f>
        <v/>
      </c>
      <c r="N36" s="6">
        <f>IF(L36="","",M36+L36)</f>
        <v/>
      </c>
      <c r="O36" s="6">
        <f>IF(N36="","",MAX(Settings!$B$7,N$2:N36))</f>
        <v/>
      </c>
      <c r="P36" s="6">
        <f>IF(N36="","",N36-O36)</f>
        <v/>
      </c>
      <c r="Q36" s="2">
        <f>IF(L36="","",IF(L36&gt;0,"Win",IF(L36&lt;0,"Loss","Flat")))</f>
        <v/>
      </c>
      <c r="R36" s="2" t="n"/>
    </row>
    <row r="37">
      <c r="A37" s="2">
        <f>IF(C37&lt;&gt;"",A36+1,"")</f>
        <v/>
      </c>
      <c r="B37" s="2" t="n"/>
      <c r="C37" s="2" t="n"/>
      <c r="D37" s="2" t="n"/>
      <c r="E37" s="2" t="n"/>
      <c r="F37" s="2" t="n"/>
      <c r="G37" s="6" t="n"/>
      <c r="H37" s="6" t="n"/>
      <c r="I37" s="2">
        <f>IF(OR(E37="",G37="",H37=""),"",IF(E37="Short",G37-H37,H37-G37))</f>
        <v/>
      </c>
      <c r="J37" s="6">
        <f>IF(I37="","",I37*F37*Settings!$B$3)</f>
        <v/>
      </c>
      <c r="K37" s="6" t="n"/>
      <c r="L37" s="6">
        <f>IF(J37="","",J37-K37)</f>
        <v/>
      </c>
      <c r="M37" s="6">
        <f>IF(C37="","",N36)</f>
        <v/>
      </c>
      <c r="N37" s="6">
        <f>IF(L37="","",M37+L37)</f>
        <v/>
      </c>
      <c r="O37" s="6">
        <f>IF(N37="","",MAX(Settings!$B$7,N$2:N37))</f>
        <v/>
      </c>
      <c r="P37" s="6">
        <f>IF(N37="","",N37-O37)</f>
        <v/>
      </c>
      <c r="Q37" s="2">
        <f>IF(L37="","",IF(L37&gt;0,"Win",IF(L37&lt;0,"Loss","Flat")))</f>
        <v/>
      </c>
      <c r="R37" s="2" t="n"/>
    </row>
    <row r="38">
      <c r="A38" s="2">
        <f>IF(C38&lt;&gt;"",A37+1,"")</f>
        <v/>
      </c>
      <c r="B38" s="2" t="n"/>
      <c r="C38" s="2" t="n"/>
      <c r="D38" s="2" t="n"/>
      <c r="E38" s="2" t="n"/>
      <c r="F38" s="2" t="n"/>
      <c r="G38" s="6" t="n"/>
      <c r="H38" s="6" t="n"/>
      <c r="I38" s="2">
        <f>IF(OR(E38="",G38="",H38=""),"",IF(E38="Short",G38-H38,H38-G38))</f>
        <v/>
      </c>
      <c r="J38" s="6">
        <f>IF(I38="","",I38*F38*Settings!$B$3)</f>
        <v/>
      </c>
      <c r="K38" s="6" t="n"/>
      <c r="L38" s="6">
        <f>IF(J38="","",J38-K38)</f>
        <v/>
      </c>
      <c r="M38" s="6">
        <f>IF(C38="","",N37)</f>
        <v/>
      </c>
      <c r="N38" s="6">
        <f>IF(L38="","",M38+L38)</f>
        <v/>
      </c>
      <c r="O38" s="6">
        <f>IF(N38="","",MAX(Settings!$B$7,N$2:N38))</f>
        <v/>
      </c>
      <c r="P38" s="6">
        <f>IF(N38="","",N38-O38)</f>
        <v/>
      </c>
      <c r="Q38" s="2">
        <f>IF(L38="","",IF(L38&gt;0,"Win",IF(L38&lt;0,"Loss","Flat")))</f>
        <v/>
      </c>
      <c r="R38" s="2" t="n"/>
    </row>
    <row r="39">
      <c r="A39" s="2">
        <f>IF(C39&lt;&gt;"",A38+1,"")</f>
        <v/>
      </c>
      <c r="B39" s="2" t="n"/>
      <c r="C39" s="2" t="n"/>
      <c r="D39" s="2" t="n"/>
      <c r="E39" s="2" t="n"/>
      <c r="F39" s="2" t="n"/>
      <c r="G39" s="6" t="n"/>
      <c r="H39" s="6" t="n"/>
      <c r="I39" s="2">
        <f>IF(OR(E39="",G39="",H39=""),"",IF(E39="Short",G39-H39,H39-G39))</f>
        <v/>
      </c>
      <c r="J39" s="6">
        <f>IF(I39="","",I39*F39*Settings!$B$3)</f>
        <v/>
      </c>
      <c r="K39" s="6" t="n"/>
      <c r="L39" s="6">
        <f>IF(J39="","",J39-K39)</f>
        <v/>
      </c>
      <c r="M39" s="6">
        <f>IF(C39="","",N38)</f>
        <v/>
      </c>
      <c r="N39" s="6">
        <f>IF(L39="","",M39+L39)</f>
        <v/>
      </c>
      <c r="O39" s="6">
        <f>IF(N39="","",MAX(Settings!$B$7,N$2:N39))</f>
        <v/>
      </c>
      <c r="P39" s="6">
        <f>IF(N39="","",N39-O39)</f>
        <v/>
      </c>
      <c r="Q39" s="2">
        <f>IF(L39="","",IF(L39&gt;0,"Win",IF(L39&lt;0,"Loss","Flat")))</f>
        <v/>
      </c>
      <c r="R39" s="2" t="n"/>
    </row>
    <row r="40">
      <c r="A40" s="2">
        <f>IF(C40&lt;&gt;"",A39+1,"")</f>
        <v/>
      </c>
      <c r="B40" s="2" t="n"/>
      <c r="C40" s="2" t="n"/>
      <c r="D40" s="2" t="n"/>
      <c r="E40" s="2" t="n"/>
      <c r="F40" s="2" t="n"/>
      <c r="G40" s="6" t="n"/>
      <c r="H40" s="6" t="n"/>
      <c r="I40" s="2">
        <f>IF(OR(E40="",G40="",H40=""),"",IF(E40="Short",G40-H40,H40-G40))</f>
        <v/>
      </c>
      <c r="J40" s="6">
        <f>IF(I40="","",I40*F40*Settings!$B$3)</f>
        <v/>
      </c>
      <c r="K40" s="6" t="n"/>
      <c r="L40" s="6">
        <f>IF(J40="","",J40-K40)</f>
        <v/>
      </c>
      <c r="M40" s="6">
        <f>IF(C40="","",N39)</f>
        <v/>
      </c>
      <c r="N40" s="6">
        <f>IF(L40="","",M40+L40)</f>
        <v/>
      </c>
      <c r="O40" s="6">
        <f>IF(N40="","",MAX(Settings!$B$7,N$2:N40))</f>
        <v/>
      </c>
      <c r="P40" s="6">
        <f>IF(N40="","",N40-O40)</f>
        <v/>
      </c>
      <c r="Q40" s="2">
        <f>IF(L40="","",IF(L40&gt;0,"Win",IF(L40&lt;0,"Loss","Flat")))</f>
        <v/>
      </c>
      <c r="R40" s="2" t="n"/>
    </row>
    <row r="41">
      <c r="A41" s="2">
        <f>IF(C41&lt;&gt;"",A40+1,"")</f>
        <v/>
      </c>
      <c r="B41" s="2" t="n"/>
      <c r="C41" s="2" t="n"/>
      <c r="D41" s="2" t="n"/>
      <c r="E41" s="2" t="n"/>
      <c r="F41" s="2" t="n"/>
      <c r="G41" s="6" t="n"/>
      <c r="H41" s="6" t="n"/>
      <c r="I41" s="2">
        <f>IF(OR(E41="",G41="",H41=""),"",IF(E41="Short",G41-H41,H41-G41))</f>
        <v/>
      </c>
      <c r="J41" s="6">
        <f>IF(I41="","",I41*F41*Settings!$B$3)</f>
        <v/>
      </c>
      <c r="K41" s="6" t="n"/>
      <c r="L41" s="6">
        <f>IF(J41="","",J41-K41)</f>
        <v/>
      </c>
      <c r="M41" s="6">
        <f>IF(C41="","",N40)</f>
        <v/>
      </c>
      <c r="N41" s="6">
        <f>IF(L41="","",M41+L41)</f>
        <v/>
      </c>
      <c r="O41" s="6">
        <f>IF(N41="","",MAX(Settings!$B$7,N$2:N41))</f>
        <v/>
      </c>
      <c r="P41" s="6">
        <f>IF(N41="","",N41-O41)</f>
        <v/>
      </c>
      <c r="Q41" s="2">
        <f>IF(L41="","",IF(L41&gt;0,"Win",IF(L41&lt;0,"Loss","Flat")))</f>
        <v/>
      </c>
      <c r="R41" s="2" t="n"/>
    </row>
    <row r="42">
      <c r="A42" s="2">
        <f>IF(C42&lt;&gt;"",A41+1,"")</f>
        <v/>
      </c>
      <c r="B42" s="2" t="n"/>
      <c r="C42" s="2" t="n"/>
      <c r="D42" s="2" t="n"/>
      <c r="E42" s="2" t="n"/>
      <c r="F42" s="2" t="n"/>
      <c r="G42" s="6" t="n"/>
      <c r="H42" s="6" t="n"/>
      <c r="I42" s="2">
        <f>IF(OR(E42="",G42="",H42=""),"",IF(E42="Short",G42-H42,H42-G42))</f>
        <v/>
      </c>
      <c r="J42" s="6">
        <f>IF(I42="","",I42*F42*Settings!$B$3)</f>
        <v/>
      </c>
      <c r="K42" s="6" t="n"/>
      <c r="L42" s="6">
        <f>IF(J42="","",J42-K42)</f>
        <v/>
      </c>
      <c r="M42" s="6">
        <f>IF(C42="","",N41)</f>
        <v/>
      </c>
      <c r="N42" s="6">
        <f>IF(L42="","",M42+L42)</f>
        <v/>
      </c>
      <c r="O42" s="6">
        <f>IF(N42="","",MAX(Settings!$B$7,N$2:N42))</f>
        <v/>
      </c>
      <c r="P42" s="6">
        <f>IF(N42="","",N42-O42)</f>
        <v/>
      </c>
      <c r="Q42" s="2">
        <f>IF(L42="","",IF(L42&gt;0,"Win",IF(L42&lt;0,"Loss","Flat")))</f>
        <v/>
      </c>
      <c r="R42" s="2" t="n"/>
    </row>
    <row r="43">
      <c r="A43" s="2">
        <f>IF(C43&lt;&gt;"",A42+1,"")</f>
        <v/>
      </c>
      <c r="B43" s="2" t="n"/>
      <c r="C43" s="2" t="n"/>
      <c r="D43" s="2" t="n"/>
      <c r="E43" s="2" t="n"/>
      <c r="F43" s="2" t="n"/>
      <c r="G43" s="6" t="n"/>
      <c r="H43" s="6" t="n"/>
      <c r="I43" s="2">
        <f>IF(OR(E43="",G43="",H43=""),"",IF(E43="Short",G43-H43,H43-G43))</f>
        <v/>
      </c>
      <c r="J43" s="6">
        <f>IF(I43="","",I43*F43*Settings!$B$3)</f>
        <v/>
      </c>
      <c r="K43" s="6" t="n"/>
      <c r="L43" s="6">
        <f>IF(J43="","",J43-K43)</f>
        <v/>
      </c>
      <c r="M43" s="6">
        <f>IF(C43="","",N42)</f>
        <v/>
      </c>
      <c r="N43" s="6">
        <f>IF(L43="","",M43+L43)</f>
        <v/>
      </c>
      <c r="O43" s="6">
        <f>IF(N43="","",MAX(Settings!$B$7,N$2:N43))</f>
        <v/>
      </c>
      <c r="P43" s="6">
        <f>IF(N43="","",N43-O43)</f>
        <v/>
      </c>
      <c r="Q43" s="2">
        <f>IF(L43="","",IF(L43&gt;0,"Win",IF(L43&lt;0,"Loss","Flat")))</f>
        <v/>
      </c>
      <c r="R43" s="2" t="n"/>
    </row>
    <row r="44">
      <c r="A44" s="2">
        <f>IF(C44&lt;&gt;"",A43+1,"")</f>
        <v/>
      </c>
      <c r="B44" s="2" t="n"/>
      <c r="C44" s="2" t="n"/>
      <c r="D44" s="2" t="n"/>
      <c r="E44" s="2" t="n"/>
      <c r="F44" s="2" t="n"/>
      <c r="G44" s="6" t="n"/>
      <c r="H44" s="6" t="n"/>
      <c r="I44" s="2">
        <f>IF(OR(E44="",G44="",H44=""),"",IF(E44="Short",G44-H44,H44-G44))</f>
        <v/>
      </c>
      <c r="J44" s="6">
        <f>IF(I44="","",I44*F44*Settings!$B$3)</f>
        <v/>
      </c>
      <c r="K44" s="6" t="n"/>
      <c r="L44" s="6">
        <f>IF(J44="","",J44-K44)</f>
        <v/>
      </c>
      <c r="M44" s="6">
        <f>IF(C44="","",N43)</f>
        <v/>
      </c>
      <c r="N44" s="6">
        <f>IF(L44="","",M44+L44)</f>
        <v/>
      </c>
      <c r="O44" s="6">
        <f>IF(N44="","",MAX(Settings!$B$7,N$2:N44))</f>
        <v/>
      </c>
      <c r="P44" s="6">
        <f>IF(N44="","",N44-O44)</f>
        <v/>
      </c>
      <c r="Q44" s="2">
        <f>IF(L44="","",IF(L44&gt;0,"Win",IF(L44&lt;0,"Loss","Flat")))</f>
        <v/>
      </c>
      <c r="R44" s="2" t="n"/>
    </row>
    <row r="45">
      <c r="A45" s="2">
        <f>IF(C45&lt;&gt;"",A44+1,"")</f>
        <v/>
      </c>
      <c r="B45" s="2" t="n"/>
      <c r="C45" s="2" t="n"/>
      <c r="D45" s="2" t="n"/>
      <c r="E45" s="2" t="n"/>
      <c r="F45" s="2" t="n"/>
      <c r="G45" s="6" t="n"/>
      <c r="H45" s="6" t="n"/>
      <c r="I45" s="2">
        <f>IF(OR(E45="",G45="",H45=""),"",IF(E45="Short",G45-H45,H45-G45))</f>
        <v/>
      </c>
      <c r="J45" s="6">
        <f>IF(I45="","",I45*F45*Settings!$B$3)</f>
        <v/>
      </c>
      <c r="K45" s="6" t="n"/>
      <c r="L45" s="6">
        <f>IF(J45="","",J45-K45)</f>
        <v/>
      </c>
      <c r="M45" s="6">
        <f>IF(C45="","",N44)</f>
        <v/>
      </c>
      <c r="N45" s="6">
        <f>IF(L45="","",M45+L45)</f>
        <v/>
      </c>
      <c r="O45" s="6">
        <f>IF(N45="","",MAX(Settings!$B$7,N$2:N45))</f>
        <v/>
      </c>
      <c r="P45" s="6">
        <f>IF(N45="","",N45-O45)</f>
        <v/>
      </c>
      <c r="Q45" s="2">
        <f>IF(L45="","",IF(L45&gt;0,"Win",IF(L45&lt;0,"Loss","Flat")))</f>
        <v/>
      </c>
      <c r="R45" s="2" t="n"/>
    </row>
    <row r="46">
      <c r="A46" s="2">
        <f>IF(C46&lt;&gt;"",A45+1,"")</f>
        <v/>
      </c>
      <c r="B46" s="2" t="n"/>
      <c r="C46" s="2" t="n"/>
      <c r="D46" s="2" t="n"/>
      <c r="E46" s="2" t="n"/>
      <c r="F46" s="2" t="n"/>
      <c r="G46" s="6" t="n"/>
      <c r="H46" s="6" t="n"/>
      <c r="I46" s="2">
        <f>IF(OR(E46="",G46="",H46=""),"",IF(E46="Short",G46-H46,H46-G46))</f>
        <v/>
      </c>
      <c r="J46" s="6">
        <f>IF(I46="","",I46*F46*Settings!$B$3)</f>
        <v/>
      </c>
      <c r="K46" s="6" t="n"/>
      <c r="L46" s="6">
        <f>IF(J46="","",J46-K46)</f>
        <v/>
      </c>
      <c r="M46" s="6">
        <f>IF(C46="","",N45)</f>
        <v/>
      </c>
      <c r="N46" s="6">
        <f>IF(L46="","",M46+L46)</f>
        <v/>
      </c>
      <c r="O46" s="6">
        <f>IF(N46="","",MAX(Settings!$B$7,N$2:N46))</f>
        <v/>
      </c>
      <c r="P46" s="6">
        <f>IF(N46="","",N46-O46)</f>
        <v/>
      </c>
      <c r="Q46" s="2">
        <f>IF(L46="","",IF(L46&gt;0,"Win",IF(L46&lt;0,"Loss","Flat")))</f>
        <v/>
      </c>
      <c r="R46" s="2" t="n"/>
    </row>
    <row r="47">
      <c r="A47" s="2">
        <f>IF(C47&lt;&gt;"",A46+1,"")</f>
        <v/>
      </c>
      <c r="B47" s="2" t="n"/>
      <c r="C47" s="2" t="n"/>
      <c r="D47" s="2" t="n"/>
      <c r="E47" s="2" t="n"/>
      <c r="F47" s="2" t="n"/>
      <c r="G47" s="6" t="n"/>
      <c r="H47" s="6" t="n"/>
      <c r="I47" s="2">
        <f>IF(OR(E47="",G47="",H47=""),"",IF(E47="Short",G47-H47,H47-G47))</f>
        <v/>
      </c>
      <c r="J47" s="6">
        <f>IF(I47="","",I47*F47*Settings!$B$3)</f>
        <v/>
      </c>
      <c r="K47" s="6" t="n"/>
      <c r="L47" s="6">
        <f>IF(J47="","",J47-K47)</f>
        <v/>
      </c>
      <c r="M47" s="6">
        <f>IF(C47="","",N46)</f>
        <v/>
      </c>
      <c r="N47" s="6">
        <f>IF(L47="","",M47+L47)</f>
        <v/>
      </c>
      <c r="O47" s="6">
        <f>IF(N47="","",MAX(Settings!$B$7,N$2:N47))</f>
        <v/>
      </c>
      <c r="P47" s="6">
        <f>IF(N47="","",N47-O47)</f>
        <v/>
      </c>
      <c r="Q47" s="2">
        <f>IF(L47="","",IF(L47&gt;0,"Win",IF(L47&lt;0,"Loss","Flat")))</f>
        <v/>
      </c>
      <c r="R47" s="2" t="n"/>
    </row>
    <row r="48">
      <c r="A48" s="2">
        <f>IF(C48&lt;&gt;"",A47+1,"")</f>
        <v/>
      </c>
      <c r="B48" s="2" t="n"/>
      <c r="C48" s="2" t="n"/>
      <c r="D48" s="2" t="n"/>
      <c r="E48" s="2" t="n"/>
      <c r="F48" s="2" t="n"/>
      <c r="G48" s="6" t="n"/>
      <c r="H48" s="6" t="n"/>
      <c r="I48" s="2">
        <f>IF(OR(E48="",G48="",H48=""),"",IF(E48="Short",G48-H48,H48-G48))</f>
        <v/>
      </c>
      <c r="J48" s="6">
        <f>IF(I48="","",I48*F48*Settings!$B$3)</f>
        <v/>
      </c>
      <c r="K48" s="6" t="n"/>
      <c r="L48" s="6">
        <f>IF(J48="","",J48-K48)</f>
        <v/>
      </c>
      <c r="M48" s="6">
        <f>IF(C48="","",N47)</f>
        <v/>
      </c>
      <c r="N48" s="6">
        <f>IF(L48="","",M48+L48)</f>
        <v/>
      </c>
      <c r="O48" s="6">
        <f>IF(N48="","",MAX(Settings!$B$7,N$2:N48))</f>
        <v/>
      </c>
      <c r="P48" s="6">
        <f>IF(N48="","",N48-O48)</f>
        <v/>
      </c>
      <c r="Q48" s="2">
        <f>IF(L48="","",IF(L48&gt;0,"Win",IF(L48&lt;0,"Loss","Flat")))</f>
        <v/>
      </c>
      <c r="R48" s="2" t="n"/>
    </row>
    <row r="49">
      <c r="A49" s="2">
        <f>IF(C49&lt;&gt;"",A48+1,"")</f>
        <v/>
      </c>
      <c r="B49" s="2" t="n"/>
      <c r="C49" s="2" t="n"/>
      <c r="D49" s="2" t="n"/>
      <c r="E49" s="2" t="n"/>
      <c r="F49" s="2" t="n"/>
      <c r="G49" s="6" t="n"/>
      <c r="H49" s="6" t="n"/>
      <c r="I49" s="2">
        <f>IF(OR(E49="",G49="",H49=""),"",IF(E49="Short",G49-H49,H49-G49))</f>
        <v/>
      </c>
      <c r="J49" s="6">
        <f>IF(I49="","",I49*F49*Settings!$B$3)</f>
        <v/>
      </c>
      <c r="K49" s="6" t="n"/>
      <c r="L49" s="6">
        <f>IF(J49="","",J49-K49)</f>
        <v/>
      </c>
      <c r="M49" s="6">
        <f>IF(C49="","",N48)</f>
        <v/>
      </c>
      <c r="N49" s="6">
        <f>IF(L49="","",M49+L49)</f>
        <v/>
      </c>
      <c r="O49" s="6">
        <f>IF(N49="","",MAX(Settings!$B$7,N$2:N49))</f>
        <v/>
      </c>
      <c r="P49" s="6">
        <f>IF(N49="","",N49-O49)</f>
        <v/>
      </c>
      <c r="Q49" s="2">
        <f>IF(L49="","",IF(L49&gt;0,"Win",IF(L49&lt;0,"Loss","Flat")))</f>
        <v/>
      </c>
      <c r="R49" s="2" t="n"/>
    </row>
    <row r="50">
      <c r="A50" s="2">
        <f>IF(C50&lt;&gt;"",A49+1,"")</f>
        <v/>
      </c>
      <c r="B50" s="2" t="n"/>
      <c r="C50" s="2" t="n"/>
      <c r="D50" s="2" t="n"/>
      <c r="E50" s="2" t="n"/>
      <c r="F50" s="2" t="n"/>
      <c r="G50" s="6" t="n"/>
      <c r="H50" s="6" t="n"/>
      <c r="I50" s="2">
        <f>IF(OR(E50="",G50="",H50=""),"",IF(E50="Short",G50-H50,H50-G50))</f>
        <v/>
      </c>
      <c r="J50" s="6">
        <f>IF(I50="","",I50*F50*Settings!$B$3)</f>
        <v/>
      </c>
      <c r="K50" s="6" t="n"/>
      <c r="L50" s="6">
        <f>IF(J50="","",J50-K50)</f>
        <v/>
      </c>
      <c r="M50" s="6">
        <f>IF(C50="","",N49)</f>
        <v/>
      </c>
      <c r="N50" s="6">
        <f>IF(L50="","",M50+L50)</f>
        <v/>
      </c>
      <c r="O50" s="6">
        <f>IF(N50="","",MAX(Settings!$B$7,N$2:N50))</f>
        <v/>
      </c>
      <c r="P50" s="6">
        <f>IF(N50="","",N50-O50)</f>
        <v/>
      </c>
      <c r="Q50" s="2">
        <f>IF(L50="","",IF(L50&gt;0,"Win",IF(L50&lt;0,"Loss","Flat")))</f>
        <v/>
      </c>
      <c r="R50" s="2" t="n"/>
    </row>
    <row r="51">
      <c r="A51" s="2">
        <f>IF(C51&lt;&gt;"",A50+1,"")</f>
        <v/>
      </c>
      <c r="B51" s="2" t="n"/>
      <c r="C51" s="2" t="n"/>
      <c r="D51" s="2" t="n"/>
      <c r="E51" s="2" t="n"/>
      <c r="F51" s="2" t="n"/>
      <c r="G51" s="6" t="n"/>
      <c r="H51" s="6" t="n"/>
      <c r="I51" s="2">
        <f>IF(OR(E51="",G51="",H51=""),"",IF(E51="Short",G51-H51,H51-G51))</f>
        <v/>
      </c>
      <c r="J51" s="6">
        <f>IF(I51="","",I51*F51*Settings!$B$3)</f>
        <v/>
      </c>
      <c r="K51" s="6" t="n"/>
      <c r="L51" s="6">
        <f>IF(J51="","",J51-K51)</f>
        <v/>
      </c>
      <c r="M51" s="6">
        <f>IF(C51="","",N50)</f>
        <v/>
      </c>
      <c r="N51" s="6">
        <f>IF(L51="","",M51+L51)</f>
        <v/>
      </c>
      <c r="O51" s="6">
        <f>IF(N51="","",MAX(Settings!$B$7,N$2:N51))</f>
        <v/>
      </c>
      <c r="P51" s="6">
        <f>IF(N51="","",N51-O51)</f>
        <v/>
      </c>
      <c r="Q51" s="2">
        <f>IF(L51="","",IF(L51&gt;0,"Win",IF(L51&lt;0,"Loss","Flat")))</f>
        <v/>
      </c>
      <c r="R51" s="2" t="n"/>
    </row>
    <row r="52">
      <c r="A52" s="2">
        <f>IF(C52&lt;&gt;"",A51+1,"")</f>
        <v/>
      </c>
      <c r="B52" s="2" t="n"/>
      <c r="C52" s="2" t="n"/>
      <c r="D52" s="2" t="n"/>
      <c r="E52" s="2" t="n"/>
      <c r="F52" s="2" t="n"/>
      <c r="G52" s="6" t="n"/>
      <c r="H52" s="6" t="n"/>
      <c r="I52" s="2">
        <f>IF(OR(E52="",G52="",H52=""),"",IF(E52="Short",G52-H52,H52-G52))</f>
        <v/>
      </c>
      <c r="J52" s="6">
        <f>IF(I52="","",I52*F52*Settings!$B$3)</f>
        <v/>
      </c>
      <c r="K52" s="6" t="n"/>
      <c r="L52" s="6">
        <f>IF(J52="","",J52-K52)</f>
        <v/>
      </c>
      <c r="M52" s="6">
        <f>IF(C52="","",N51)</f>
        <v/>
      </c>
      <c r="N52" s="6">
        <f>IF(L52="","",M52+L52)</f>
        <v/>
      </c>
      <c r="O52" s="6">
        <f>IF(N52="","",MAX(Settings!$B$7,N$2:N52))</f>
        <v/>
      </c>
      <c r="P52" s="6">
        <f>IF(N52="","",N52-O52)</f>
        <v/>
      </c>
      <c r="Q52" s="2">
        <f>IF(L52="","",IF(L52&gt;0,"Win",IF(L52&lt;0,"Loss","Flat")))</f>
        <v/>
      </c>
      <c r="R52" s="2" t="n"/>
    </row>
    <row r="53">
      <c r="A53" s="2">
        <f>IF(C53&lt;&gt;"",A52+1,"")</f>
        <v/>
      </c>
      <c r="B53" s="2" t="n"/>
      <c r="C53" s="2" t="n"/>
      <c r="D53" s="2" t="n"/>
      <c r="E53" s="2" t="n"/>
      <c r="F53" s="2" t="n"/>
      <c r="G53" s="6" t="n"/>
      <c r="H53" s="6" t="n"/>
      <c r="I53" s="2">
        <f>IF(OR(E53="",G53="",H53=""),"",IF(E53="Short",G53-H53,H53-G53))</f>
        <v/>
      </c>
      <c r="J53" s="6">
        <f>IF(I53="","",I53*F53*Settings!$B$3)</f>
        <v/>
      </c>
      <c r="K53" s="6" t="n"/>
      <c r="L53" s="6">
        <f>IF(J53="","",J53-K53)</f>
        <v/>
      </c>
      <c r="M53" s="6">
        <f>IF(C53="","",N52)</f>
        <v/>
      </c>
      <c r="N53" s="6">
        <f>IF(L53="","",M53+L53)</f>
        <v/>
      </c>
      <c r="O53" s="6">
        <f>IF(N53="","",MAX(Settings!$B$7,N$2:N53))</f>
        <v/>
      </c>
      <c r="P53" s="6">
        <f>IF(N53="","",N53-O53)</f>
        <v/>
      </c>
      <c r="Q53" s="2">
        <f>IF(L53="","",IF(L53&gt;0,"Win",IF(L53&lt;0,"Loss","Flat")))</f>
        <v/>
      </c>
      <c r="R53" s="2" t="n"/>
    </row>
    <row r="54">
      <c r="A54" s="2">
        <f>IF(C54&lt;&gt;"",A53+1,"")</f>
        <v/>
      </c>
      <c r="B54" s="2" t="n"/>
      <c r="C54" s="2" t="n"/>
      <c r="D54" s="2" t="n"/>
      <c r="E54" s="2" t="n"/>
      <c r="F54" s="2" t="n"/>
      <c r="G54" s="6" t="n"/>
      <c r="H54" s="6" t="n"/>
      <c r="I54" s="2">
        <f>IF(OR(E54="",G54="",H54=""),"",IF(E54="Short",G54-H54,H54-G54))</f>
        <v/>
      </c>
      <c r="J54" s="6">
        <f>IF(I54="","",I54*F54*Settings!$B$3)</f>
        <v/>
      </c>
      <c r="K54" s="6" t="n"/>
      <c r="L54" s="6">
        <f>IF(J54="","",J54-K54)</f>
        <v/>
      </c>
      <c r="M54" s="6">
        <f>IF(C54="","",N53)</f>
        <v/>
      </c>
      <c r="N54" s="6">
        <f>IF(L54="","",M54+L54)</f>
        <v/>
      </c>
      <c r="O54" s="6">
        <f>IF(N54="","",MAX(Settings!$B$7,N$2:N54))</f>
        <v/>
      </c>
      <c r="P54" s="6">
        <f>IF(N54="","",N54-O54)</f>
        <v/>
      </c>
      <c r="Q54" s="2">
        <f>IF(L54="","",IF(L54&gt;0,"Win",IF(L54&lt;0,"Loss","Flat")))</f>
        <v/>
      </c>
      <c r="R54" s="2" t="n"/>
    </row>
    <row r="55">
      <c r="A55" s="2">
        <f>IF(C55&lt;&gt;"",A54+1,"")</f>
        <v/>
      </c>
      <c r="B55" s="2" t="n"/>
      <c r="C55" s="2" t="n"/>
      <c r="D55" s="2" t="n"/>
      <c r="E55" s="2" t="n"/>
      <c r="F55" s="2" t="n"/>
      <c r="G55" s="6" t="n"/>
      <c r="H55" s="6" t="n"/>
      <c r="I55" s="2">
        <f>IF(OR(E55="",G55="",H55=""),"",IF(E55="Short",G55-H55,H55-G55))</f>
        <v/>
      </c>
      <c r="J55" s="6">
        <f>IF(I55="","",I55*F55*Settings!$B$3)</f>
        <v/>
      </c>
      <c r="K55" s="6" t="n"/>
      <c r="L55" s="6">
        <f>IF(J55="","",J55-K55)</f>
        <v/>
      </c>
      <c r="M55" s="6">
        <f>IF(C55="","",N54)</f>
        <v/>
      </c>
      <c r="N55" s="6">
        <f>IF(L55="","",M55+L55)</f>
        <v/>
      </c>
      <c r="O55" s="6">
        <f>IF(N55="","",MAX(Settings!$B$7,N$2:N55))</f>
        <v/>
      </c>
      <c r="P55" s="6">
        <f>IF(N55="","",N55-O55)</f>
        <v/>
      </c>
      <c r="Q55" s="2">
        <f>IF(L55="","",IF(L55&gt;0,"Win",IF(L55&lt;0,"Loss","Flat")))</f>
        <v/>
      </c>
      <c r="R55" s="2" t="n"/>
    </row>
    <row r="56">
      <c r="A56" s="2">
        <f>IF(C56&lt;&gt;"",A55+1,"")</f>
        <v/>
      </c>
      <c r="B56" s="2" t="n"/>
      <c r="C56" s="2" t="n"/>
      <c r="D56" s="2" t="n"/>
      <c r="E56" s="2" t="n"/>
      <c r="F56" s="2" t="n"/>
      <c r="G56" s="6" t="n"/>
      <c r="H56" s="6" t="n"/>
      <c r="I56" s="2">
        <f>IF(OR(E56="",G56="",H56=""),"",IF(E56="Short",G56-H56,H56-G56))</f>
        <v/>
      </c>
      <c r="J56" s="6">
        <f>IF(I56="","",I56*F56*Settings!$B$3)</f>
        <v/>
      </c>
      <c r="K56" s="6" t="n"/>
      <c r="L56" s="6">
        <f>IF(J56="","",J56-K56)</f>
        <v/>
      </c>
      <c r="M56" s="6">
        <f>IF(C56="","",N55)</f>
        <v/>
      </c>
      <c r="N56" s="6">
        <f>IF(L56="","",M56+L56)</f>
        <v/>
      </c>
      <c r="O56" s="6">
        <f>IF(N56="","",MAX(Settings!$B$7,N$2:N56))</f>
        <v/>
      </c>
      <c r="P56" s="6">
        <f>IF(N56="","",N56-O56)</f>
        <v/>
      </c>
      <c r="Q56" s="2">
        <f>IF(L56="","",IF(L56&gt;0,"Win",IF(L56&lt;0,"Loss","Flat")))</f>
        <v/>
      </c>
      <c r="R56" s="2" t="n"/>
    </row>
    <row r="57">
      <c r="A57" s="2">
        <f>IF(C57&lt;&gt;"",A56+1,"")</f>
        <v/>
      </c>
      <c r="B57" s="2" t="n"/>
      <c r="C57" s="2" t="n"/>
      <c r="D57" s="2" t="n"/>
      <c r="E57" s="2" t="n"/>
      <c r="F57" s="2" t="n"/>
      <c r="G57" s="6" t="n"/>
      <c r="H57" s="6" t="n"/>
      <c r="I57" s="2">
        <f>IF(OR(E57="",G57="",H57=""),"",IF(E57="Short",G57-H57,H57-G57))</f>
        <v/>
      </c>
      <c r="J57" s="6">
        <f>IF(I57="","",I57*F57*Settings!$B$3)</f>
        <v/>
      </c>
      <c r="K57" s="6" t="n"/>
      <c r="L57" s="6">
        <f>IF(J57="","",J57-K57)</f>
        <v/>
      </c>
      <c r="M57" s="6">
        <f>IF(C57="","",N56)</f>
        <v/>
      </c>
      <c r="N57" s="6">
        <f>IF(L57="","",M57+L57)</f>
        <v/>
      </c>
      <c r="O57" s="6">
        <f>IF(N57="","",MAX(Settings!$B$7,N$2:N57))</f>
        <v/>
      </c>
      <c r="P57" s="6">
        <f>IF(N57="","",N57-O57)</f>
        <v/>
      </c>
      <c r="Q57" s="2">
        <f>IF(L57="","",IF(L57&gt;0,"Win",IF(L57&lt;0,"Loss","Flat")))</f>
        <v/>
      </c>
      <c r="R57" s="2" t="n"/>
    </row>
    <row r="58">
      <c r="A58" s="2">
        <f>IF(C58&lt;&gt;"",A57+1,"")</f>
        <v/>
      </c>
      <c r="B58" s="2" t="n"/>
      <c r="C58" s="2" t="n"/>
      <c r="D58" s="2" t="n"/>
      <c r="E58" s="2" t="n"/>
      <c r="F58" s="2" t="n"/>
      <c r="G58" s="6" t="n"/>
      <c r="H58" s="6" t="n"/>
      <c r="I58" s="2">
        <f>IF(OR(E58="",G58="",H58=""),"",IF(E58="Short",G58-H58,H58-G58))</f>
        <v/>
      </c>
      <c r="J58" s="6">
        <f>IF(I58="","",I58*F58*Settings!$B$3)</f>
        <v/>
      </c>
      <c r="K58" s="6" t="n"/>
      <c r="L58" s="6">
        <f>IF(J58="","",J58-K58)</f>
        <v/>
      </c>
      <c r="M58" s="6">
        <f>IF(C58="","",N57)</f>
        <v/>
      </c>
      <c r="N58" s="6">
        <f>IF(L58="","",M58+L58)</f>
        <v/>
      </c>
      <c r="O58" s="6">
        <f>IF(N58="","",MAX(Settings!$B$7,N$2:N58))</f>
        <v/>
      </c>
      <c r="P58" s="6">
        <f>IF(N58="","",N58-O58)</f>
        <v/>
      </c>
      <c r="Q58" s="2">
        <f>IF(L58="","",IF(L58&gt;0,"Win",IF(L58&lt;0,"Loss","Flat")))</f>
        <v/>
      </c>
      <c r="R58" s="2" t="n"/>
    </row>
    <row r="59">
      <c r="A59" s="2">
        <f>IF(C59&lt;&gt;"",A58+1,"")</f>
        <v/>
      </c>
      <c r="B59" s="2" t="n"/>
      <c r="C59" s="2" t="n"/>
      <c r="D59" s="2" t="n"/>
      <c r="E59" s="2" t="n"/>
      <c r="F59" s="2" t="n"/>
      <c r="G59" s="6" t="n"/>
      <c r="H59" s="6" t="n"/>
      <c r="I59" s="2">
        <f>IF(OR(E59="",G59="",H59=""),"",IF(E59="Short",G59-H59,H59-G59))</f>
        <v/>
      </c>
      <c r="J59" s="6">
        <f>IF(I59="","",I59*F59*Settings!$B$3)</f>
        <v/>
      </c>
      <c r="K59" s="6" t="n"/>
      <c r="L59" s="6">
        <f>IF(J59="","",J59-K59)</f>
        <v/>
      </c>
      <c r="M59" s="6">
        <f>IF(C59="","",N58)</f>
        <v/>
      </c>
      <c r="N59" s="6">
        <f>IF(L59="","",M59+L59)</f>
        <v/>
      </c>
      <c r="O59" s="6">
        <f>IF(N59="","",MAX(Settings!$B$7,N$2:N59))</f>
        <v/>
      </c>
      <c r="P59" s="6">
        <f>IF(N59="","",N59-O59)</f>
        <v/>
      </c>
      <c r="Q59" s="2">
        <f>IF(L59="","",IF(L59&gt;0,"Win",IF(L59&lt;0,"Loss","Flat")))</f>
        <v/>
      </c>
      <c r="R59" s="2" t="n"/>
    </row>
    <row r="60">
      <c r="A60" s="2">
        <f>IF(C60&lt;&gt;"",A59+1,"")</f>
        <v/>
      </c>
      <c r="B60" s="2" t="n"/>
      <c r="C60" s="2" t="n"/>
      <c r="D60" s="2" t="n"/>
      <c r="E60" s="2" t="n"/>
      <c r="F60" s="2" t="n"/>
      <c r="G60" s="6" t="n"/>
      <c r="H60" s="6" t="n"/>
      <c r="I60" s="2">
        <f>IF(OR(E60="",G60="",H60=""),"",IF(E60="Short",G60-H60,H60-G60))</f>
        <v/>
      </c>
      <c r="J60" s="6">
        <f>IF(I60="","",I60*F60*Settings!$B$3)</f>
        <v/>
      </c>
      <c r="K60" s="6" t="n"/>
      <c r="L60" s="6">
        <f>IF(J60="","",J60-K60)</f>
        <v/>
      </c>
      <c r="M60" s="6">
        <f>IF(C60="","",N59)</f>
        <v/>
      </c>
      <c r="N60" s="6">
        <f>IF(L60="","",M60+L60)</f>
        <v/>
      </c>
      <c r="O60" s="6">
        <f>IF(N60="","",MAX(Settings!$B$7,N$2:N60))</f>
        <v/>
      </c>
      <c r="P60" s="6">
        <f>IF(N60="","",N60-O60)</f>
        <v/>
      </c>
      <c r="Q60" s="2">
        <f>IF(L60="","",IF(L60&gt;0,"Win",IF(L60&lt;0,"Loss","Flat")))</f>
        <v/>
      </c>
      <c r="R60" s="2" t="n"/>
    </row>
    <row r="61">
      <c r="A61" s="2">
        <f>IF(C61&lt;&gt;"",A60+1,"")</f>
        <v/>
      </c>
      <c r="B61" s="2" t="n"/>
      <c r="C61" s="2" t="n"/>
      <c r="D61" s="2" t="n"/>
      <c r="E61" s="2" t="n"/>
      <c r="F61" s="2" t="n"/>
      <c r="G61" s="6" t="n"/>
      <c r="H61" s="6" t="n"/>
      <c r="I61" s="2">
        <f>IF(OR(E61="",G61="",H61=""),"",IF(E61="Short",G61-H61,H61-G61))</f>
        <v/>
      </c>
      <c r="J61" s="6">
        <f>IF(I61="","",I61*F61*Settings!$B$3)</f>
        <v/>
      </c>
      <c r="K61" s="6" t="n"/>
      <c r="L61" s="6">
        <f>IF(J61="","",J61-K61)</f>
        <v/>
      </c>
      <c r="M61" s="6">
        <f>IF(C61="","",N60)</f>
        <v/>
      </c>
      <c r="N61" s="6">
        <f>IF(L61="","",M61+L61)</f>
        <v/>
      </c>
      <c r="O61" s="6">
        <f>IF(N61="","",MAX(Settings!$B$7,N$2:N61))</f>
        <v/>
      </c>
      <c r="P61" s="6">
        <f>IF(N61="","",N61-O61)</f>
        <v/>
      </c>
      <c r="Q61" s="2">
        <f>IF(L61="","",IF(L61&gt;0,"Win",IF(L61&lt;0,"Loss","Flat")))</f>
        <v/>
      </c>
      <c r="R61" s="2" t="n"/>
    </row>
    <row r="62">
      <c r="A62" s="2">
        <f>IF(C62&lt;&gt;"",A61+1,"")</f>
        <v/>
      </c>
      <c r="B62" s="2" t="n"/>
      <c r="C62" s="2" t="n"/>
      <c r="D62" s="2" t="n"/>
      <c r="E62" s="2" t="n"/>
      <c r="F62" s="2" t="n"/>
      <c r="G62" s="6" t="n"/>
      <c r="H62" s="6" t="n"/>
      <c r="I62" s="2">
        <f>IF(OR(E62="",G62="",H62=""),"",IF(E62="Short",G62-H62,H62-G62))</f>
        <v/>
      </c>
      <c r="J62" s="6">
        <f>IF(I62="","",I62*F62*Settings!$B$3)</f>
        <v/>
      </c>
      <c r="K62" s="6" t="n"/>
      <c r="L62" s="6">
        <f>IF(J62="","",J62-K62)</f>
        <v/>
      </c>
      <c r="M62" s="6">
        <f>IF(C62="","",N61)</f>
        <v/>
      </c>
      <c r="N62" s="6">
        <f>IF(L62="","",M62+L62)</f>
        <v/>
      </c>
      <c r="O62" s="6">
        <f>IF(N62="","",MAX(Settings!$B$7,N$2:N62))</f>
        <v/>
      </c>
      <c r="P62" s="6">
        <f>IF(N62="","",N62-O62)</f>
        <v/>
      </c>
      <c r="Q62" s="2">
        <f>IF(L62="","",IF(L62&gt;0,"Win",IF(L62&lt;0,"Loss","Flat")))</f>
        <v/>
      </c>
      <c r="R62" s="2" t="n"/>
    </row>
    <row r="63">
      <c r="A63" s="2">
        <f>IF(C63&lt;&gt;"",A62+1,"")</f>
        <v/>
      </c>
      <c r="B63" s="2" t="n"/>
      <c r="C63" s="2" t="n"/>
      <c r="D63" s="2" t="n"/>
      <c r="E63" s="2" t="n"/>
      <c r="F63" s="2" t="n"/>
      <c r="G63" s="6" t="n"/>
      <c r="H63" s="6" t="n"/>
      <c r="I63" s="2">
        <f>IF(OR(E63="",G63="",H63=""),"",IF(E63="Short",G63-H63,H63-G63))</f>
        <v/>
      </c>
      <c r="J63" s="6">
        <f>IF(I63="","",I63*F63*Settings!$B$3)</f>
        <v/>
      </c>
      <c r="K63" s="6" t="n"/>
      <c r="L63" s="6">
        <f>IF(J63="","",J63-K63)</f>
        <v/>
      </c>
      <c r="M63" s="6">
        <f>IF(C63="","",N62)</f>
        <v/>
      </c>
      <c r="N63" s="6">
        <f>IF(L63="","",M63+L63)</f>
        <v/>
      </c>
      <c r="O63" s="6">
        <f>IF(N63="","",MAX(Settings!$B$7,N$2:N63))</f>
        <v/>
      </c>
      <c r="P63" s="6">
        <f>IF(N63="","",N63-O63)</f>
        <v/>
      </c>
      <c r="Q63" s="2">
        <f>IF(L63="","",IF(L63&gt;0,"Win",IF(L63&lt;0,"Loss","Flat")))</f>
        <v/>
      </c>
      <c r="R63" s="2" t="n"/>
    </row>
    <row r="64">
      <c r="A64" s="2">
        <f>IF(C64&lt;&gt;"",A63+1,"")</f>
        <v/>
      </c>
      <c r="B64" s="2" t="n"/>
      <c r="C64" s="2" t="n"/>
      <c r="D64" s="2" t="n"/>
      <c r="E64" s="2" t="n"/>
      <c r="F64" s="2" t="n"/>
      <c r="G64" s="6" t="n"/>
      <c r="H64" s="6" t="n"/>
      <c r="I64" s="2">
        <f>IF(OR(E64="",G64="",H64=""),"",IF(E64="Short",G64-H64,H64-G64))</f>
        <v/>
      </c>
      <c r="J64" s="6">
        <f>IF(I64="","",I64*F64*Settings!$B$3)</f>
        <v/>
      </c>
      <c r="K64" s="6" t="n"/>
      <c r="L64" s="6">
        <f>IF(J64="","",J64-K64)</f>
        <v/>
      </c>
      <c r="M64" s="6">
        <f>IF(C64="","",N63)</f>
        <v/>
      </c>
      <c r="N64" s="6">
        <f>IF(L64="","",M64+L64)</f>
        <v/>
      </c>
      <c r="O64" s="6">
        <f>IF(N64="","",MAX(Settings!$B$7,N$2:N64))</f>
        <v/>
      </c>
      <c r="P64" s="6">
        <f>IF(N64="","",N64-O64)</f>
        <v/>
      </c>
      <c r="Q64" s="2">
        <f>IF(L64="","",IF(L64&gt;0,"Win",IF(L64&lt;0,"Loss","Flat")))</f>
        <v/>
      </c>
      <c r="R64" s="2" t="n"/>
    </row>
    <row r="65">
      <c r="A65" s="2">
        <f>IF(C65&lt;&gt;"",A64+1,"")</f>
        <v/>
      </c>
      <c r="B65" s="2" t="n"/>
      <c r="C65" s="2" t="n"/>
      <c r="D65" s="2" t="n"/>
      <c r="E65" s="2" t="n"/>
      <c r="F65" s="2" t="n"/>
      <c r="G65" s="6" t="n"/>
      <c r="H65" s="6" t="n"/>
      <c r="I65" s="2">
        <f>IF(OR(E65="",G65="",H65=""),"",IF(E65="Short",G65-H65,H65-G65))</f>
        <v/>
      </c>
      <c r="J65" s="6">
        <f>IF(I65="","",I65*F65*Settings!$B$3)</f>
        <v/>
      </c>
      <c r="K65" s="6" t="n"/>
      <c r="L65" s="6">
        <f>IF(J65="","",J65-K65)</f>
        <v/>
      </c>
      <c r="M65" s="6">
        <f>IF(C65="","",N64)</f>
        <v/>
      </c>
      <c r="N65" s="6">
        <f>IF(L65="","",M65+L65)</f>
        <v/>
      </c>
      <c r="O65" s="6">
        <f>IF(N65="","",MAX(Settings!$B$7,N$2:N65))</f>
        <v/>
      </c>
      <c r="P65" s="6">
        <f>IF(N65="","",N65-O65)</f>
        <v/>
      </c>
      <c r="Q65" s="2">
        <f>IF(L65="","",IF(L65&gt;0,"Win",IF(L65&lt;0,"Loss","Flat")))</f>
        <v/>
      </c>
      <c r="R65" s="2" t="n"/>
    </row>
    <row r="66">
      <c r="A66" s="2">
        <f>IF(C66&lt;&gt;"",A65+1,"")</f>
        <v/>
      </c>
      <c r="B66" s="2" t="n"/>
      <c r="C66" s="2" t="n"/>
      <c r="D66" s="2" t="n"/>
      <c r="E66" s="2" t="n"/>
      <c r="F66" s="2" t="n"/>
      <c r="G66" s="6" t="n"/>
      <c r="H66" s="6" t="n"/>
      <c r="I66" s="2">
        <f>IF(OR(E66="",G66="",H66=""),"",IF(E66="Short",G66-H66,H66-G66))</f>
        <v/>
      </c>
      <c r="J66" s="6">
        <f>IF(I66="","",I66*F66*Settings!$B$3)</f>
        <v/>
      </c>
      <c r="K66" s="6" t="n"/>
      <c r="L66" s="6">
        <f>IF(J66="","",J66-K66)</f>
        <v/>
      </c>
      <c r="M66" s="6">
        <f>IF(C66="","",N65)</f>
        <v/>
      </c>
      <c r="N66" s="6">
        <f>IF(L66="","",M66+L66)</f>
        <v/>
      </c>
      <c r="O66" s="6">
        <f>IF(N66="","",MAX(Settings!$B$7,N$2:N66))</f>
        <v/>
      </c>
      <c r="P66" s="6">
        <f>IF(N66="","",N66-O66)</f>
        <v/>
      </c>
      <c r="Q66" s="2">
        <f>IF(L66="","",IF(L66&gt;0,"Win",IF(L66&lt;0,"Loss","Flat")))</f>
        <v/>
      </c>
      <c r="R66" s="2" t="n"/>
    </row>
    <row r="67">
      <c r="A67" s="2">
        <f>IF(C67&lt;&gt;"",A66+1,"")</f>
        <v/>
      </c>
      <c r="B67" s="2" t="n"/>
      <c r="C67" s="2" t="n"/>
      <c r="D67" s="2" t="n"/>
      <c r="E67" s="2" t="n"/>
      <c r="F67" s="2" t="n"/>
      <c r="G67" s="6" t="n"/>
      <c r="H67" s="6" t="n"/>
      <c r="I67" s="2">
        <f>IF(OR(E67="",G67="",H67=""),"",IF(E67="Short",G67-H67,H67-G67))</f>
        <v/>
      </c>
      <c r="J67" s="6">
        <f>IF(I67="","",I67*F67*Settings!$B$3)</f>
        <v/>
      </c>
      <c r="K67" s="6" t="n"/>
      <c r="L67" s="6">
        <f>IF(J67="","",J67-K67)</f>
        <v/>
      </c>
      <c r="M67" s="6">
        <f>IF(C67="","",N66)</f>
        <v/>
      </c>
      <c r="N67" s="6">
        <f>IF(L67="","",M67+L67)</f>
        <v/>
      </c>
      <c r="O67" s="6">
        <f>IF(N67="","",MAX(Settings!$B$7,N$2:N67))</f>
        <v/>
      </c>
      <c r="P67" s="6">
        <f>IF(N67="","",N67-O67)</f>
        <v/>
      </c>
      <c r="Q67" s="2">
        <f>IF(L67="","",IF(L67&gt;0,"Win",IF(L67&lt;0,"Loss","Flat")))</f>
        <v/>
      </c>
      <c r="R67" s="2" t="n"/>
    </row>
    <row r="68">
      <c r="A68" s="2">
        <f>IF(C68&lt;&gt;"",A67+1,"")</f>
        <v/>
      </c>
      <c r="B68" s="2" t="n"/>
      <c r="C68" s="2" t="n"/>
      <c r="D68" s="2" t="n"/>
      <c r="E68" s="2" t="n"/>
      <c r="F68" s="2" t="n"/>
      <c r="G68" s="6" t="n"/>
      <c r="H68" s="6" t="n"/>
      <c r="I68" s="2">
        <f>IF(OR(E68="",G68="",H68=""),"",IF(E68="Short",G68-H68,H68-G68))</f>
        <v/>
      </c>
      <c r="J68" s="6">
        <f>IF(I68="","",I68*F68*Settings!$B$3)</f>
        <v/>
      </c>
      <c r="K68" s="6" t="n"/>
      <c r="L68" s="6">
        <f>IF(J68="","",J68-K68)</f>
        <v/>
      </c>
      <c r="M68" s="6">
        <f>IF(C68="","",N67)</f>
        <v/>
      </c>
      <c r="N68" s="6">
        <f>IF(L68="","",M68+L68)</f>
        <v/>
      </c>
      <c r="O68" s="6">
        <f>IF(N68="","",MAX(Settings!$B$7,N$2:N68))</f>
        <v/>
      </c>
      <c r="P68" s="6">
        <f>IF(N68="","",N68-O68)</f>
        <v/>
      </c>
      <c r="Q68" s="2">
        <f>IF(L68="","",IF(L68&gt;0,"Win",IF(L68&lt;0,"Loss","Flat")))</f>
        <v/>
      </c>
      <c r="R68" s="2" t="n"/>
    </row>
    <row r="69">
      <c r="A69" s="2">
        <f>IF(C69&lt;&gt;"",A68+1,"")</f>
        <v/>
      </c>
      <c r="B69" s="2" t="n"/>
      <c r="C69" s="2" t="n"/>
      <c r="D69" s="2" t="n"/>
      <c r="E69" s="2" t="n"/>
      <c r="F69" s="2" t="n"/>
      <c r="G69" s="6" t="n"/>
      <c r="H69" s="6" t="n"/>
      <c r="I69" s="2">
        <f>IF(OR(E69="",G69="",H69=""),"",IF(E69="Short",G69-H69,H69-G69))</f>
        <v/>
      </c>
      <c r="J69" s="6">
        <f>IF(I69="","",I69*F69*Settings!$B$3)</f>
        <v/>
      </c>
      <c r="K69" s="6" t="n"/>
      <c r="L69" s="6">
        <f>IF(J69="","",J69-K69)</f>
        <v/>
      </c>
      <c r="M69" s="6">
        <f>IF(C69="","",N68)</f>
        <v/>
      </c>
      <c r="N69" s="6">
        <f>IF(L69="","",M69+L69)</f>
        <v/>
      </c>
      <c r="O69" s="6">
        <f>IF(N69="","",MAX(Settings!$B$7,N$2:N69))</f>
        <v/>
      </c>
      <c r="P69" s="6">
        <f>IF(N69="","",N69-O69)</f>
        <v/>
      </c>
      <c r="Q69" s="2">
        <f>IF(L69="","",IF(L69&gt;0,"Win",IF(L69&lt;0,"Loss","Flat")))</f>
        <v/>
      </c>
      <c r="R69" s="2" t="n"/>
    </row>
    <row r="70">
      <c r="A70" s="2">
        <f>IF(C70&lt;&gt;"",A69+1,"")</f>
        <v/>
      </c>
      <c r="B70" s="2" t="n"/>
      <c r="C70" s="2" t="n"/>
      <c r="D70" s="2" t="n"/>
      <c r="E70" s="2" t="n"/>
      <c r="F70" s="2" t="n"/>
      <c r="G70" s="6" t="n"/>
      <c r="H70" s="6" t="n"/>
      <c r="I70" s="2">
        <f>IF(OR(E70="",G70="",H70=""),"",IF(E70="Short",G70-H70,H70-G70))</f>
        <v/>
      </c>
      <c r="J70" s="6">
        <f>IF(I70="","",I70*F70*Settings!$B$3)</f>
        <v/>
      </c>
      <c r="K70" s="6" t="n"/>
      <c r="L70" s="6">
        <f>IF(J70="","",J70-K70)</f>
        <v/>
      </c>
      <c r="M70" s="6">
        <f>IF(C70="","",N69)</f>
        <v/>
      </c>
      <c r="N70" s="6">
        <f>IF(L70="","",M70+L70)</f>
        <v/>
      </c>
      <c r="O70" s="6">
        <f>IF(N70="","",MAX(Settings!$B$7,N$2:N70))</f>
        <v/>
      </c>
      <c r="P70" s="6">
        <f>IF(N70="","",N70-O70)</f>
        <v/>
      </c>
      <c r="Q70" s="2">
        <f>IF(L70="","",IF(L70&gt;0,"Win",IF(L70&lt;0,"Loss","Flat")))</f>
        <v/>
      </c>
      <c r="R70" s="2" t="n"/>
    </row>
    <row r="71">
      <c r="A71" s="2">
        <f>IF(C71&lt;&gt;"",A70+1,"")</f>
        <v/>
      </c>
      <c r="B71" s="2" t="n"/>
      <c r="C71" s="2" t="n"/>
      <c r="D71" s="2" t="n"/>
      <c r="E71" s="2" t="n"/>
      <c r="F71" s="2" t="n"/>
      <c r="G71" s="6" t="n"/>
      <c r="H71" s="6" t="n"/>
      <c r="I71" s="2">
        <f>IF(OR(E71="",G71="",H71=""),"",IF(E71="Short",G71-H71,H71-G71))</f>
        <v/>
      </c>
      <c r="J71" s="6">
        <f>IF(I71="","",I71*F71*Settings!$B$3)</f>
        <v/>
      </c>
      <c r="K71" s="6" t="n"/>
      <c r="L71" s="6">
        <f>IF(J71="","",J71-K71)</f>
        <v/>
      </c>
      <c r="M71" s="6">
        <f>IF(C71="","",N70)</f>
        <v/>
      </c>
      <c r="N71" s="6">
        <f>IF(L71="","",M71+L71)</f>
        <v/>
      </c>
      <c r="O71" s="6">
        <f>IF(N71="","",MAX(Settings!$B$7,N$2:N71))</f>
        <v/>
      </c>
      <c r="P71" s="6">
        <f>IF(N71="","",N71-O71)</f>
        <v/>
      </c>
      <c r="Q71" s="2">
        <f>IF(L71="","",IF(L71&gt;0,"Win",IF(L71&lt;0,"Loss","Flat")))</f>
        <v/>
      </c>
      <c r="R71" s="2" t="n"/>
    </row>
    <row r="72">
      <c r="A72" s="2">
        <f>IF(C72&lt;&gt;"",A71+1,"")</f>
        <v/>
      </c>
      <c r="B72" s="2" t="n"/>
      <c r="C72" s="2" t="n"/>
      <c r="D72" s="2" t="n"/>
      <c r="E72" s="2" t="n"/>
      <c r="F72" s="2" t="n"/>
      <c r="G72" s="6" t="n"/>
      <c r="H72" s="6" t="n"/>
      <c r="I72" s="2">
        <f>IF(OR(E72="",G72="",H72=""),"",IF(E72="Short",G72-H72,H72-G72))</f>
        <v/>
      </c>
      <c r="J72" s="6">
        <f>IF(I72="","",I72*F72*Settings!$B$3)</f>
        <v/>
      </c>
      <c r="K72" s="6" t="n"/>
      <c r="L72" s="6">
        <f>IF(J72="","",J72-K72)</f>
        <v/>
      </c>
      <c r="M72" s="6">
        <f>IF(C72="","",N71)</f>
        <v/>
      </c>
      <c r="N72" s="6">
        <f>IF(L72="","",M72+L72)</f>
        <v/>
      </c>
      <c r="O72" s="6">
        <f>IF(N72="","",MAX(Settings!$B$7,N$2:N72))</f>
        <v/>
      </c>
      <c r="P72" s="6">
        <f>IF(N72="","",N72-O72)</f>
        <v/>
      </c>
      <c r="Q72" s="2">
        <f>IF(L72="","",IF(L72&gt;0,"Win",IF(L72&lt;0,"Loss","Flat")))</f>
        <v/>
      </c>
      <c r="R72" s="2" t="n"/>
    </row>
    <row r="73">
      <c r="A73" s="2">
        <f>IF(C73&lt;&gt;"",A72+1,"")</f>
        <v/>
      </c>
      <c r="B73" s="2" t="n"/>
      <c r="C73" s="2" t="n"/>
      <c r="D73" s="2" t="n"/>
      <c r="E73" s="2" t="n"/>
      <c r="F73" s="2" t="n"/>
      <c r="G73" s="6" t="n"/>
      <c r="H73" s="6" t="n"/>
      <c r="I73" s="2">
        <f>IF(OR(E73="",G73="",H73=""),"",IF(E73="Short",G73-H73,H73-G73))</f>
        <v/>
      </c>
      <c r="J73" s="6">
        <f>IF(I73="","",I73*F73*Settings!$B$3)</f>
        <v/>
      </c>
      <c r="K73" s="6" t="n"/>
      <c r="L73" s="6">
        <f>IF(J73="","",J73-K73)</f>
        <v/>
      </c>
      <c r="M73" s="6">
        <f>IF(C73="","",N72)</f>
        <v/>
      </c>
      <c r="N73" s="6">
        <f>IF(L73="","",M73+L73)</f>
        <v/>
      </c>
      <c r="O73" s="6">
        <f>IF(N73="","",MAX(Settings!$B$7,N$2:N73))</f>
        <v/>
      </c>
      <c r="P73" s="6">
        <f>IF(N73="","",N73-O73)</f>
        <v/>
      </c>
      <c r="Q73" s="2">
        <f>IF(L73="","",IF(L73&gt;0,"Win",IF(L73&lt;0,"Loss","Flat")))</f>
        <v/>
      </c>
      <c r="R73" s="2" t="n"/>
    </row>
    <row r="74">
      <c r="A74" s="2">
        <f>IF(C74&lt;&gt;"",A73+1,"")</f>
        <v/>
      </c>
      <c r="B74" s="2" t="n"/>
      <c r="C74" s="2" t="n"/>
      <c r="D74" s="2" t="n"/>
      <c r="E74" s="2" t="n"/>
      <c r="F74" s="2" t="n"/>
      <c r="G74" s="6" t="n"/>
      <c r="H74" s="6" t="n"/>
      <c r="I74" s="2">
        <f>IF(OR(E74="",G74="",H74=""),"",IF(E74="Short",G74-H74,H74-G74))</f>
        <v/>
      </c>
      <c r="J74" s="6">
        <f>IF(I74="","",I74*F74*Settings!$B$3)</f>
        <v/>
      </c>
      <c r="K74" s="6" t="n"/>
      <c r="L74" s="6">
        <f>IF(J74="","",J74-K74)</f>
        <v/>
      </c>
      <c r="M74" s="6">
        <f>IF(C74="","",N73)</f>
        <v/>
      </c>
      <c r="N74" s="6">
        <f>IF(L74="","",M74+L74)</f>
        <v/>
      </c>
      <c r="O74" s="6">
        <f>IF(N74="","",MAX(Settings!$B$7,N$2:N74))</f>
        <v/>
      </c>
      <c r="P74" s="6">
        <f>IF(N74="","",N74-O74)</f>
        <v/>
      </c>
      <c r="Q74" s="2">
        <f>IF(L74="","",IF(L74&gt;0,"Win",IF(L74&lt;0,"Loss","Flat")))</f>
        <v/>
      </c>
      <c r="R74" s="2" t="n"/>
    </row>
    <row r="75">
      <c r="A75" s="2">
        <f>IF(C75&lt;&gt;"",A74+1,"")</f>
        <v/>
      </c>
      <c r="B75" s="2" t="n"/>
      <c r="C75" s="2" t="n"/>
      <c r="D75" s="2" t="n"/>
      <c r="E75" s="2" t="n"/>
      <c r="F75" s="2" t="n"/>
      <c r="G75" s="6" t="n"/>
      <c r="H75" s="6" t="n"/>
      <c r="I75" s="2">
        <f>IF(OR(E75="",G75="",H75=""),"",IF(E75="Short",G75-H75,H75-G75))</f>
        <v/>
      </c>
      <c r="J75" s="6">
        <f>IF(I75="","",I75*F75*Settings!$B$3)</f>
        <v/>
      </c>
      <c r="K75" s="6" t="n"/>
      <c r="L75" s="6">
        <f>IF(J75="","",J75-K75)</f>
        <v/>
      </c>
      <c r="M75" s="6">
        <f>IF(C75="","",N74)</f>
        <v/>
      </c>
      <c r="N75" s="6">
        <f>IF(L75="","",M75+L75)</f>
        <v/>
      </c>
      <c r="O75" s="6">
        <f>IF(N75="","",MAX(Settings!$B$7,N$2:N75))</f>
        <v/>
      </c>
      <c r="P75" s="6">
        <f>IF(N75="","",N75-O75)</f>
        <v/>
      </c>
      <c r="Q75" s="2">
        <f>IF(L75="","",IF(L75&gt;0,"Win",IF(L75&lt;0,"Loss","Flat")))</f>
        <v/>
      </c>
      <c r="R75" s="2" t="n"/>
    </row>
    <row r="76">
      <c r="A76" s="2">
        <f>IF(C76&lt;&gt;"",A75+1,"")</f>
        <v/>
      </c>
      <c r="B76" s="2" t="n"/>
      <c r="C76" s="2" t="n"/>
      <c r="D76" s="2" t="n"/>
      <c r="E76" s="2" t="n"/>
      <c r="F76" s="2" t="n"/>
      <c r="G76" s="6" t="n"/>
      <c r="H76" s="6" t="n"/>
      <c r="I76" s="2">
        <f>IF(OR(E76="",G76="",H76=""),"",IF(E76="Short",G76-H76,H76-G76))</f>
        <v/>
      </c>
      <c r="J76" s="6">
        <f>IF(I76="","",I76*F76*Settings!$B$3)</f>
        <v/>
      </c>
      <c r="K76" s="6" t="n"/>
      <c r="L76" s="6">
        <f>IF(J76="","",J76-K76)</f>
        <v/>
      </c>
      <c r="M76" s="6">
        <f>IF(C76="","",N75)</f>
        <v/>
      </c>
      <c r="N76" s="6">
        <f>IF(L76="","",M76+L76)</f>
        <v/>
      </c>
      <c r="O76" s="6">
        <f>IF(N76="","",MAX(Settings!$B$7,N$2:N76))</f>
        <v/>
      </c>
      <c r="P76" s="6">
        <f>IF(N76="","",N76-O76)</f>
        <v/>
      </c>
      <c r="Q76" s="2">
        <f>IF(L76="","",IF(L76&gt;0,"Win",IF(L76&lt;0,"Loss","Flat")))</f>
        <v/>
      </c>
      <c r="R76" s="2" t="n"/>
    </row>
    <row r="77">
      <c r="A77" s="2">
        <f>IF(C77&lt;&gt;"",A76+1,"")</f>
        <v/>
      </c>
      <c r="B77" s="2" t="n"/>
      <c r="C77" s="2" t="n"/>
      <c r="D77" s="2" t="n"/>
      <c r="E77" s="2" t="n"/>
      <c r="F77" s="2" t="n"/>
      <c r="G77" s="6" t="n"/>
      <c r="H77" s="6" t="n"/>
      <c r="I77" s="2">
        <f>IF(OR(E77="",G77="",H77=""),"",IF(E77="Short",G77-H77,H77-G77))</f>
        <v/>
      </c>
      <c r="J77" s="6">
        <f>IF(I77="","",I77*F77*Settings!$B$3)</f>
        <v/>
      </c>
      <c r="K77" s="6" t="n"/>
      <c r="L77" s="6">
        <f>IF(J77="","",J77-K77)</f>
        <v/>
      </c>
      <c r="M77" s="6">
        <f>IF(C77="","",N76)</f>
        <v/>
      </c>
      <c r="N77" s="6">
        <f>IF(L77="","",M77+L77)</f>
        <v/>
      </c>
      <c r="O77" s="6">
        <f>IF(N77="","",MAX(Settings!$B$7,N$2:N77))</f>
        <v/>
      </c>
      <c r="P77" s="6">
        <f>IF(N77="","",N77-O77)</f>
        <v/>
      </c>
      <c r="Q77" s="2">
        <f>IF(L77="","",IF(L77&gt;0,"Win",IF(L77&lt;0,"Loss","Flat")))</f>
        <v/>
      </c>
      <c r="R77" s="2" t="n"/>
    </row>
    <row r="78">
      <c r="A78" s="2">
        <f>IF(C78&lt;&gt;"",A77+1,"")</f>
        <v/>
      </c>
      <c r="B78" s="2" t="n"/>
      <c r="C78" s="2" t="n"/>
      <c r="D78" s="2" t="n"/>
      <c r="E78" s="2" t="n"/>
      <c r="F78" s="2" t="n"/>
      <c r="G78" s="6" t="n"/>
      <c r="H78" s="6" t="n"/>
      <c r="I78" s="2">
        <f>IF(OR(E78="",G78="",H78=""),"",IF(E78="Short",G78-H78,H78-G78))</f>
        <v/>
      </c>
      <c r="J78" s="6">
        <f>IF(I78="","",I78*F78*Settings!$B$3)</f>
        <v/>
      </c>
      <c r="K78" s="6" t="n"/>
      <c r="L78" s="6">
        <f>IF(J78="","",J78-K78)</f>
        <v/>
      </c>
      <c r="M78" s="6">
        <f>IF(C78="","",N77)</f>
        <v/>
      </c>
      <c r="N78" s="6">
        <f>IF(L78="","",M78+L78)</f>
        <v/>
      </c>
      <c r="O78" s="6">
        <f>IF(N78="","",MAX(Settings!$B$7,N$2:N78))</f>
        <v/>
      </c>
      <c r="P78" s="6">
        <f>IF(N78="","",N78-O78)</f>
        <v/>
      </c>
      <c r="Q78" s="2">
        <f>IF(L78="","",IF(L78&gt;0,"Win",IF(L78&lt;0,"Loss","Flat")))</f>
        <v/>
      </c>
      <c r="R78" s="2" t="n"/>
    </row>
    <row r="79">
      <c r="A79" s="2">
        <f>IF(C79&lt;&gt;"",A78+1,"")</f>
        <v/>
      </c>
      <c r="B79" s="2" t="n"/>
      <c r="C79" s="2" t="n"/>
      <c r="D79" s="2" t="n"/>
      <c r="E79" s="2" t="n"/>
      <c r="F79" s="2" t="n"/>
      <c r="G79" s="6" t="n"/>
      <c r="H79" s="6" t="n"/>
      <c r="I79" s="2">
        <f>IF(OR(E79="",G79="",H79=""),"",IF(E79="Short",G79-H79,H79-G79))</f>
        <v/>
      </c>
      <c r="J79" s="6">
        <f>IF(I79="","",I79*F79*Settings!$B$3)</f>
        <v/>
      </c>
      <c r="K79" s="6" t="n"/>
      <c r="L79" s="6">
        <f>IF(J79="","",J79-K79)</f>
        <v/>
      </c>
      <c r="M79" s="6">
        <f>IF(C79="","",N78)</f>
        <v/>
      </c>
      <c r="N79" s="6">
        <f>IF(L79="","",M79+L79)</f>
        <v/>
      </c>
      <c r="O79" s="6">
        <f>IF(N79="","",MAX(Settings!$B$7,N$2:N79))</f>
        <v/>
      </c>
      <c r="P79" s="6">
        <f>IF(N79="","",N79-O79)</f>
        <v/>
      </c>
      <c r="Q79" s="2">
        <f>IF(L79="","",IF(L79&gt;0,"Win",IF(L79&lt;0,"Loss","Flat")))</f>
        <v/>
      </c>
      <c r="R79" s="2" t="n"/>
    </row>
    <row r="80">
      <c r="A80" s="2">
        <f>IF(C80&lt;&gt;"",A79+1,"")</f>
        <v/>
      </c>
      <c r="B80" s="2" t="n"/>
      <c r="C80" s="2" t="n"/>
      <c r="D80" s="2" t="n"/>
      <c r="E80" s="2" t="n"/>
      <c r="F80" s="2" t="n"/>
      <c r="G80" s="6" t="n"/>
      <c r="H80" s="6" t="n"/>
      <c r="I80" s="2">
        <f>IF(OR(E80="",G80="",H80=""),"",IF(E80="Short",G80-H80,H80-G80))</f>
        <v/>
      </c>
      <c r="J80" s="6">
        <f>IF(I80="","",I80*F80*Settings!$B$3)</f>
        <v/>
      </c>
      <c r="K80" s="6" t="n"/>
      <c r="L80" s="6">
        <f>IF(J80="","",J80-K80)</f>
        <v/>
      </c>
      <c r="M80" s="6">
        <f>IF(C80="","",N79)</f>
        <v/>
      </c>
      <c r="N80" s="6">
        <f>IF(L80="","",M80+L80)</f>
        <v/>
      </c>
      <c r="O80" s="6">
        <f>IF(N80="","",MAX(Settings!$B$7,N$2:N80))</f>
        <v/>
      </c>
      <c r="P80" s="6">
        <f>IF(N80="","",N80-O80)</f>
        <v/>
      </c>
      <c r="Q80" s="2">
        <f>IF(L80="","",IF(L80&gt;0,"Win",IF(L80&lt;0,"Loss","Flat")))</f>
        <v/>
      </c>
      <c r="R80" s="2" t="n"/>
    </row>
    <row r="81">
      <c r="A81" s="2">
        <f>IF(C81&lt;&gt;"",A80+1,"")</f>
        <v/>
      </c>
      <c r="B81" s="2" t="n"/>
      <c r="C81" s="2" t="n"/>
      <c r="D81" s="2" t="n"/>
      <c r="E81" s="2" t="n"/>
      <c r="F81" s="2" t="n"/>
      <c r="G81" s="6" t="n"/>
      <c r="H81" s="6" t="n"/>
      <c r="I81" s="2">
        <f>IF(OR(E81="",G81="",H81=""),"",IF(E81="Short",G81-H81,H81-G81))</f>
        <v/>
      </c>
      <c r="J81" s="6">
        <f>IF(I81="","",I81*F81*Settings!$B$3)</f>
        <v/>
      </c>
      <c r="K81" s="6" t="n"/>
      <c r="L81" s="6">
        <f>IF(J81="","",J81-K81)</f>
        <v/>
      </c>
      <c r="M81" s="6">
        <f>IF(C81="","",N80)</f>
        <v/>
      </c>
      <c r="N81" s="6">
        <f>IF(L81="","",M81+L81)</f>
        <v/>
      </c>
      <c r="O81" s="6">
        <f>IF(N81="","",MAX(Settings!$B$7,N$2:N81))</f>
        <v/>
      </c>
      <c r="P81" s="6">
        <f>IF(N81="","",N81-O81)</f>
        <v/>
      </c>
      <c r="Q81" s="2">
        <f>IF(L81="","",IF(L81&gt;0,"Win",IF(L81&lt;0,"Loss","Flat")))</f>
        <v/>
      </c>
      <c r="R81" s="2" t="n"/>
    </row>
    <row r="82">
      <c r="A82" s="2">
        <f>IF(C82&lt;&gt;"",A81+1,"")</f>
        <v/>
      </c>
      <c r="B82" s="2" t="n"/>
      <c r="C82" s="2" t="n"/>
      <c r="D82" s="2" t="n"/>
      <c r="E82" s="2" t="n"/>
      <c r="F82" s="2" t="n"/>
      <c r="G82" s="6" t="n"/>
      <c r="H82" s="6" t="n"/>
      <c r="I82" s="2">
        <f>IF(OR(E82="",G82="",H82=""),"",IF(E82="Short",G82-H82,H82-G82))</f>
        <v/>
      </c>
      <c r="J82" s="6">
        <f>IF(I82="","",I82*F82*Settings!$B$3)</f>
        <v/>
      </c>
      <c r="K82" s="6" t="n"/>
      <c r="L82" s="6">
        <f>IF(J82="","",J82-K82)</f>
        <v/>
      </c>
      <c r="M82" s="6">
        <f>IF(C82="","",N81)</f>
        <v/>
      </c>
      <c r="N82" s="6">
        <f>IF(L82="","",M82+L82)</f>
        <v/>
      </c>
      <c r="O82" s="6">
        <f>IF(N82="","",MAX(Settings!$B$7,N$2:N82))</f>
        <v/>
      </c>
      <c r="P82" s="6">
        <f>IF(N82="","",N82-O82)</f>
        <v/>
      </c>
      <c r="Q82" s="2">
        <f>IF(L82="","",IF(L82&gt;0,"Win",IF(L82&lt;0,"Loss","Flat")))</f>
        <v/>
      </c>
      <c r="R82" s="2" t="n"/>
    </row>
    <row r="83">
      <c r="A83" s="2">
        <f>IF(C83&lt;&gt;"",A82+1,"")</f>
        <v/>
      </c>
      <c r="B83" s="2" t="n"/>
      <c r="C83" s="2" t="n"/>
      <c r="D83" s="2" t="n"/>
      <c r="E83" s="2" t="n"/>
      <c r="F83" s="2" t="n"/>
      <c r="G83" s="6" t="n"/>
      <c r="H83" s="6" t="n"/>
      <c r="I83" s="2">
        <f>IF(OR(E83="",G83="",H83=""),"",IF(E83="Short",G83-H83,H83-G83))</f>
        <v/>
      </c>
      <c r="J83" s="6">
        <f>IF(I83="","",I83*F83*Settings!$B$3)</f>
        <v/>
      </c>
      <c r="K83" s="6" t="n"/>
      <c r="L83" s="6">
        <f>IF(J83="","",J83-K83)</f>
        <v/>
      </c>
      <c r="M83" s="6">
        <f>IF(C83="","",N82)</f>
        <v/>
      </c>
      <c r="N83" s="6">
        <f>IF(L83="","",M83+L83)</f>
        <v/>
      </c>
      <c r="O83" s="6">
        <f>IF(N83="","",MAX(Settings!$B$7,N$2:N83))</f>
        <v/>
      </c>
      <c r="P83" s="6">
        <f>IF(N83="","",N83-O83)</f>
        <v/>
      </c>
      <c r="Q83" s="2">
        <f>IF(L83="","",IF(L83&gt;0,"Win",IF(L83&lt;0,"Loss","Flat")))</f>
        <v/>
      </c>
      <c r="R83" s="2" t="n"/>
    </row>
    <row r="84">
      <c r="A84" s="2">
        <f>IF(C84&lt;&gt;"",A83+1,"")</f>
        <v/>
      </c>
      <c r="B84" s="2" t="n"/>
      <c r="C84" s="2" t="n"/>
      <c r="D84" s="2" t="n"/>
      <c r="E84" s="2" t="n"/>
      <c r="F84" s="2" t="n"/>
      <c r="G84" s="6" t="n"/>
      <c r="H84" s="6" t="n"/>
      <c r="I84" s="2">
        <f>IF(OR(E84="",G84="",H84=""),"",IF(E84="Short",G84-H84,H84-G84))</f>
        <v/>
      </c>
      <c r="J84" s="6">
        <f>IF(I84="","",I84*F84*Settings!$B$3)</f>
        <v/>
      </c>
      <c r="K84" s="6" t="n"/>
      <c r="L84" s="6">
        <f>IF(J84="","",J84-K84)</f>
        <v/>
      </c>
      <c r="M84" s="6">
        <f>IF(C84="","",N83)</f>
        <v/>
      </c>
      <c r="N84" s="6">
        <f>IF(L84="","",M84+L84)</f>
        <v/>
      </c>
      <c r="O84" s="6">
        <f>IF(N84="","",MAX(Settings!$B$7,N$2:N84))</f>
        <v/>
      </c>
      <c r="P84" s="6">
        <f>IF(N84="","",N84-O84)</f>
        <v/>
      </c>
      <c r="Q84" s="2">
        <f>IF(L84="","",IF(L84&gt;0,"Win",IF(L84&lt;0,"Loss","Flat")))</f>
        <v/>
      </c>
      <c r="R84" s="2" t="n"/>
    </row>
    <row r="85">
      <c r="A85" s="2">
        <f>IF(C85&lt;&gt;"",A84+1,"")</f>
        <v/>
      </c>
      <c r="B85" s="2" t="n"/>
      <c r="C85" s="2" t="n"/>
      <c r="D85" s="2" t="n"/>
      <c r="E85" s="2" t="n"/>
      <c r="F85" s="2" t="n"/>
      <c r="G85" s="6" t="n"/>
      <c r="H85" s="6" t="n"/>
      <c r="I85" s="2">
        <f>IF(OR(E85="",G85="",H85=""),"",IF(E85="Short",G85-H85,H85-G85))</f>
        <v/>
      </c>
      <c r="J85" s="6">
        <f>IF(I85="","",I85*F85*Settings!$B$3)</f>
        <v/>
      </c>
      <c r="K85" s="6" t="n"/>
      <c r="L85" s="6">
        <f>IF(J85="","",J85-K85)</f>
        <v/>
      </c>
      <c r="M85" s="6">
        <f>IF(C85="","",N84)</f>
        <v/>
      </c>
      <c r="N85" s="6">
        <f>IF(L85="","",M85+L85)</f>
        <v/>
      </c>
      <c r="O85" s="6">
        <f>IF(N85="","",MAX(Settings!$B$7,N$2:N85))</f>
        <v/>
      </c>
      <c r="P85" s="6">
        <f>IF(N85="","",N85-O85)</f>
        <v/>
      </c>
      <c r="Q85" s="2">
        <f>IF(L85="","",IF(L85&gt;0,"Win",IF(L85&lt;0,"Loss","Flat")))</f>
        <v/>
      </c>
      <c r="R85" s="2" t="n"/>
    </row>
    <row r="86">
      <c r="A86" s="2">
        <f>IF(C86&lt;&gt;"",A85+1,"")</f>
        <v/>
      </c>
      <c r="B86" s="2" t="n"/>
      <c r="C86" s="2" t="n"/>
      <c r="D86" s="2" t="n"/>
      <c r="E86" s="2" t="n"/>
      <c r="F86" s="2" t="n"/>
      <c r="G86" s="6" t="n"/>
      <c r="H86" s="6" t="n"/>
      <c r="I86" s="2">
        <f>IF(OR(E86="",G86="",H86=""),"",IF(E86="Short",G86-H86,H86-G86))</f>
        <v/>
      </c>
      <c r="J86" s="6">
        <f>IF(I86="","",I86*F86*Settings!$B$3)</f>
        <v/>
      </c>
      <c r="K86" s="6" t="n"/>
      <c r="L86" s="6">
        <f>IF(J86="","",J86-K86)</f>
        <v/>
      </c>
      <c r="M86" s="6">
        <f>IF(C86="","",N85)</f>
        <v/>
      </c>
      <c r="N86" s="6">
        <f>IF(L86="","",M86+L86)</f>
        <v/>
      </c>
      <c r="O86" s="6">
        <f>IF(N86="","",MAX(Settings!$B$7,N$2:N86))</f>
        <v/>
      </c>
      <c r="P86" s="6">
        <f>IF(N86="","",N86-O86)</f>
        <v/>
      </c>
      <c r="Q86" s="2">
        <f>IF(L86="","",IF(L86&gt;0,"Win",IF(L86&lt;0,"Loss","Flat")))</f>
        <v/>
      </c>
      <c r="R86" s="2" t="n"/>
    </row>
    <row r="87">
      <c r="A87" s="2">
        <f>IF(C87&lt;&gt;"",A86+1,"")</f>
        <v/>
      </c>
      <c r="B87" s="2" t="n"/>
      <c r="C87" s="2" t="n"/>
      <c r="D87" s="2" t="n"/>
      <c r="E87" s="2" t="n"/>
      <c r="F87" s="2" t="n"/>
      <c r="G87" s="6" t="n"/>
      <c r="H87" s="6" t="n"/>
      <c r="I87" s="2">
        <f>IF(OR(E87="",G87="",H87=""),"",IF(E87="Short",G87-H87,H87-G87))</f>
        <v/>
      </c>
      <c r="J87" s="6">
        <f>IF(I87="","",I87*F87*Settings!$B$3)</f>
        <v/>
      </c>
      <c r="K87" s="6" t="n"/>
      <c r="L87" s="6">
        <f>IF(J87="","",J87-K87)</f>
        <v/>
      </c>
      <c r="M87" s="6">
        <f>IF(C87="","",N86)</f>
        <v/>
      </c>
      <c r="N87" s="6">
        <f>IF(L87="","",M87+L87)</f>
        <v/>
      </c>
      <c r="O87" s="6">
        <f>IF(N87="","",MAX(Settings!$B$7,N$2:N87))</f>
        <v/>
      </c>
      <c r="P87" s="6">
        <f>IF(N87="","",N87-O87)</f>
        <v/>
      </c>
      <c r="Q87" s="2">
        <f>IF(L87="","",IF(L87&gt;0,"Win",IF(L87&lt;0,"Loss","Flat")))</f>
        <v/>
      </c>
      <c r="R87" s="2" t="n"/>
    </row>
    <row r="88">
      <c r="A88" s="2">
        <f>IF(C88&lt;&gt;"",A87+1,"")</f>
        <v/>
      </c>
      <c r="B88" s="2" t="n"/>
      <c r="C88" s="2" t="n"/>
      <c r="D88" s="2" t="n"/>
      <c r="E88" s="2" t="n"/>
      <c r="F88" s="2" t="n"/>
      <c r="G88" s="6" t="n"/>
      <c r="H88" s="6" t="n"/>
      <c r="I88" s="2">
        <f>IF(OR(E88="",G88="",H88=""),"",IF(E88="Short",G88-H88,H88-G88))</f>
        <v/>
      </c>
      <c r="J88" s="6">
        <f>IF(I88="","",I88*F88*Settings!$B$3)</f>
        <v/>
      </c>
      <c r="K88" s="6" t="n"/>
      <c r="L88" s="6">
        <f>IF(J88="","",J88-K88)</f>
        <v/>
      </c>
      <c r="M88" s="6">
        <f>IF(C88="","",N87)</f>
        <v/>
      </c>
      <c r="N88" s="6">
        <f>IF(L88="","",M88+L88)</f>
        <v/>
      </c>
      <c r="O88" s="6">
        <f>IF(N88="","",MAX(Settings!$B$7,N$2:N88))</f>
        <v/>
      </c>
      <c r="P88" s="6">
        <f>IF(N88="","",N88-O88)</f>
        <v/>
      </c>
      <c r="Q88" s="2">
        <f>IF(L88="","",IF(L88&gt;0,"Win",IF(L88&lt;0,"Loss","Flat")))</f>
        <v/>
      </c>
      <c r="R88" s="2" t="n"/>
    </row>
    <row r="89">
      <c r="A89" s="2">
        <f>IF(C89&lt;&gt;"",A88+1,"")</f>
        <v/>
      </c>
      <c r="B89" s="2" t="n"/>
      <c r="C89" s="2" t="n"/>
      <c r="D89" s="2" t="n"/>
      <c r="E89" s="2" t="n"/>
      <c r="F89" s="2" t="n"/>
      <c r="G89" s="6" t="n"/>
      <c r="H89" s="6" t="n"/>
      <c r="I89" s="2">
        <f>IF(OR(E89="",G89="",H89=""),"",IF(E89="Short",G89-H89,H89-G89))</f>
        <v/>
      </c>
      <c r="J89" s="6">
        <f>IF(I89="","",I89*F89*Settings!$B$3)</f>
        <v/>
      </c>
      <c r="K89" s="6" t="n"/>
      <c r="L89" s="6">
        <f>IF(J89="","",J89-K89)</f>
        <v/>
      </c>
      <c r="M89" s="6">
        <f>IF(C89="","",N88)</f>
        <v/>
      </c>
      <c r="N89" s="6">
        <f>IF(L89="","",M89+L89)</f>
        <v/>
      </c>
      <c r="O89" s="6">
        <f>IF(N89="","",MAX(Settings!$B$7,N$2:N89))</f>
        <v/>
      </c>
      <c r="P89" s="6">
        <f>IF(N89="","",N89-O89)</f>
        <v/>
      </c>
      <c r="Q89" s="2">
        <f>IF(L89="","",IF(L89&gt;0,"Win",IF(L89&lt;0,"Loss","Flat")))</f>
        <v/>
      </c>
      <c r="R89" s="2" t="n"/>
    </row>
    <row r="90">
      <c r="A90" s="2">
        <f>IF(C90&lt;&gt;"",A89+1,"")</f>
        <v/>
      </c>
      <c r="B90" s="2" t="n"/>
      <c r="C90" s="2" t="n"/>
      <c r="D90" s="2" t="n"/>
      <c r="E90" s="2" t="n"/>
      <c r="F90" s="2" t="n"/>
      <c r="G90" s="6" t="n"/>
      <c r="H90" s="6" t="n"/>
      <c r="I90" s="2">
        <f>IF(OR(E90="",G90="",H90=""),"",IF(E90="Short",G90-H90,H90-G90))</f>
        <v/>
      </c>
      <c r="J90" s="6">
        <f>IF(I90="","",I90*F90*Settings!$B$3)</f>
        <v/>
      </c>
      <c r="K90" s="6" t="n"/>
      <c r="L90" s="6">
        <f>IF(J90="","",J90-K90)</f>
        <v/>
      </c>
      <c r="M90" s="6">
        <f>IF(C90="","",N89)</f>
        <v/>
      </c>
      <c r="N90" s="6">
        <f>IF(L90="","",M90+L90)</f>
        <v/>
      </c>
      <c r="O90" s="6">
        <f>IF(N90="","",MAX(Settings!$B$7,N$2:N90))</f>
        <v/>
      </c>
      <c r="P90" s="6">
        <f>IF(N90="","",N90-O90)</f>
        <v/>
      </c>
      <c r="Q90" s="2">
        <f>IF(L90="","",IF(L90&gt;0,"Win",IF(L90&lt;0,"Loss","Flat")))</f>
        <v/>
      </c>
      <c r="R90" s="2" t="n"/>
    </row>
    <row r="91">
      <c r="A91" s="2">
        <f>IF(C91&lt;&gt;"",A90+1,"")</f>
        <v/>
      </c>
      <c r="B91" s="2" t="n"/>
      <c r="C91" s="2" t="n"/>
      <c r="D91" s="2" t="n"/>
      <c r="E91" s="2" t="n"/>
      <c r="F91" s="2" t="n"/>
      <c r="G91" s="6" t="n"/>
      <c r="H91" s="6" t="n"/>
      <c r="I91" s="2">
        <f>IF(OR(E91="",G91="",H91=""),"",IF(E91="Short",G91-H91,H91-G91))</f>
        <v/>
      </c>
      <c r="J91" s="6">
        <f>IF(I91="","",I91*F91*Settings!$B$3)</f>
        <v/>
      </c>
      <c r="K91" s="6" t="n"/>
      <c r="L91" s="6">
        <f>IF(J91="","",J91-K91)</f>
        <v/>
      </c>
      <c r="M91" s="6">
        <f>IF(C91="","",N90)</f>
        <v/>
      </c>
      <c r="N91" s="6">
        <f>IF(L91="","",M91+L91)</f>
        <v/>
      </c>
      <c r="O91" s="6">
        <f>IF(N91="","",MAX(Settings!$B$7,N$2:N91))</f>
        <v/>
      </c>
      <c r="P91" s="6">
        <f>IF(N91="","",N91-O91)</f>
        <v/>
      </c>
      <c r="Q91" s="2">
        <f>IF(L91="","",IF(L91&gt;0,"Win",IF(L91&lt;0,"Loss","Flat")))</f>
        <v/>
      </c>
      <c r="R91" s="2" t="n"/>
    </row>
    <row r="92">
      <c r="A92" s="2">
        <f>IF(C92&lt;&gt;"",A91+1,"")</f>
        <v/>
      </c>
      <c r="B92" s="2" t="n"/>
      <c r="C92" s="2" t="n"/>
      <c r="D92" s="2" t="n"/>
      <c r="E92" s="2" t="n"/>
      <c r="F92" s="2" t="n"/>
      <c r="G92" s="6" t="n"/>
      <c r="H92" s="6" t="n"/>
      <c r="I92" s="2">
        <f>IF(OR(E92="",G92="",H92=""),"",IF(E92="Short",G92-H92,H92-G92))</f>
        <v/>
      </c>
      <c r="J92" s="6">
        <f>IF(I92="","",I92*F92*Settings!$B$3)</f>
        <v/>
      </c>
      <c r="K92" s="6" t="n"/>
      <c r="L92" s="6">
        <f>IF(J92="","",J92-K92)</f>
        <v/>
      </c>
      <c r="M92" s="6">
        <f>IF(C92="","",N91)</f>
        <v/>
      </c>
      <c r="N92" s="6">
        <f>IF(L92="","",M92+L92)</f>
        <v/>
      </c>
      <c r="O92" s="6">
        <f>IF(N92="","",MAX(Settings!$B$7,N$2:N92))</f>
        <v/>
      </c>
      <c r="P92" s="6">
        <f>IF(N92="","",N92-O92)</f>
        <v/>
      </c>
      <c r="Q92" s="2">
        <f>IF(L92="","",IF(L92&gt;0,"Win",IF(L92&lt;0,"Loss","Flat")))</f>
        <v/>
      </c>
      <c r="R92" s="2" t="n"/>
    </row>
    <row r="93">
      <c r="A93" s="2">
        <f>IF(C93&lt;&gt;"",A92+1,"")</f>
        <v/>
      </c>
      <c r="B93" s="2" t="n"/>
      <c r="C93" s="2" t="n"/>
      <c r="D93" s="2" t="n"/>
      <c r="E93" s="2" t="n"/>
      <c r="F93" s="2" t="n"/>
      <c r="G93" s="6" t="n"/>
      <c r="H93" s="6" t="n"/>
      <c r="I93" s="2">
        <f>IF(OR(E93="",G93="",H93=""),"",IF(E93="Short",G93-H93,H93-G93))</f>
        <v/>
      </c>
      <c r="J93" s="6">
        <f>IF(I93="","",I93*F93*Settings!$B$3)</f>
        <v/>
      </c>
      <c r="K93" s="6" t="n"/>
      <c r="L93" s="6">
        <f>IF(J93="","",J93-K93)</f>
        <v/>
      </c>
      <c r="M93" s="6">
        <f>IF(C93="","",N92)</f>
        <v/>
      </c>
      <c r="N93" s="6">
        <f>IF(L93="","",M93+L93)</f>
        <v/>
      </c>
      <c r="O93" s="6">
        <f>IF(N93="","",MAX(Settings!$B$7,N$2:N93))</f>
        <v/>
      </c>
      <c r="P93" s="6">
        <f>IF(N93="","",N93-O93)</f>
        <v/>
      </c>
      <c r="Q93" s="2">
        <f>IF(L93="","",IF(L93&gt;0,"Win",IF(L93&lt;0,"Loss","Flat")))</f>
        <v/>
      </c>
      <c r="R93" s="2" t="n"/>
    </row>
    <row r="94">
      <c r="A94" s="2">
        <f>IF(C94&lt;&gt;"",A93+1,"")</f>
        <v/>
      </c>
      <c r="B94" s="2" t="n"/>
      <c r="C94" s="2" t="n"/>
      <c r="D94" s="2" t="n"/>
      <c r="E94" s="2" t="n"/>
      <c r="F94" s="2" t="n"/>
      <c r="G94" s="6" t="n"/>
      <c r="H94" s="6" t="n"/>
      <c r="I94" s="2">
        <f>IF(OR(E94="",G94="",H94=""),"",IF(E94="Short",G94-H94,H94-G94))</f>
        <v/>
      </c>
      <c r="J94" s="6">
        <f>IF(I94="","",I94*F94*Settings!$B$3)</f>
        <v/>
      </c>
      <c r="K94" s="6" t="n"/>
      <c r="L94" s="6">
        <f>IF(J94="","",J94-K94)</f>
        <v/>
      </c>
      <c r="M94" s="6">
        <f>IF(C94="","",N93)</f>
        <v/>
      </c>
      <c r="N94" s="6">
        <f>IF(L94="","",M94+L94)</f>
        <v/>
      </c>
      <c r="O94" s="6">
        <f>IF(N94="","",MAX(Settings!$B$7,N$2:N94))</f>
        <v/>
      </c>
      <c r="P94" s="6">
        <f>IF(N94="","",N94-O94)</f>
        <v/>
      </c>
      <c r="Q94" s="2">
        <f>IF(L94="","",IF(L94&gt;0,"Win",IF(L94&lt;0,"Loss","Flat")))</f>
        <v/>
      </c>
      <c r="R94" s="2" t="n"/>
    </row>
    <row r="95">
      <c r="A95" s="2">
        <f>IF(C95&lt;&gt;"",A94+1,"")</f>
        <v/>
      </c>
      <c r="B95" s="2" t="n"/>
      <c r="C95" s="2" t="n"/>
      <c r="D95" s="2" t="n"/>
      <c r="E95" s="2" t="n"/>
      <c r="F95" s="2" t="n"/>
      <c r="G95" s="6" t="n"/>
      <c r="H95" s="6" t="n"/>
      <c r="I95" s="2">
        <f>IF(OR(E95="",G95="",H95=""),"",IF(E95="Short",G95-H95,H95-G95))</f>
        <v/>
      </c>
      <c r="J95" s="6">
        <f>IF(I95="","",I95*F95*Settings!$B$3)</f>
        <v/>
      </c>
      <c r="K95" s="6" t="n"/>
      <c r="L95" s="6">
        <f>IF(J95="","",J95-K95)</f>
        <v/>
      </c>
      <c r="M95" s="6">
        <f>IF(C95="","",N94)</f>
        <v/>
      </c>
      <c r="N95" s="6">
        <f>IF(L95="","",M95+L95)</f>
        <v/>
      </c>
      <c r="O95" s="6">
        <f>IF(N95="","",MAX(Settings!$B$7,N$2:N95))</f>
        <v/>
      </c>
      <c r="P95" s="6">
        <f>IF(N95="","",N95-O95)</f>
        <v/>
      </c>
      <c r="Q95" s="2">
        <f>IF(L95="","",IF(L95&gt;0,"Win",IF(L95&lt;0,"Loss","Flat")))</f>
        <v/>
      </c>
      <c r="R95" s="2" t="n"/>
    </row>
    <row r="96">
      <c r="A96" s="2">
        <f>IF(C96&lt;&gt;"",A95+1,"")</f>
        <v/>
      </c>
      <c r="B96" s="2" t="n"/>
      <c r="C96" s="2" t="n"/>
      <c r="D96" s="2" t="n"/>
      <c r="E96" s="2" t="n"/>
      <c r="F96" s="2" t="n"/>
      <c r="G96" s="6" t="n"/>
      <c r="H96" s="6" t="n"/>
      <c r="I96" s="2">
        <f>IF(OR(E96="",G96="",H96=""),"",IF(E96="Short",G96-H96,H96-G96))</f>
        <v/>
      </c>
      <c r="J96" s="6">
        <f>IF(I96="","",I96*F96*Settings!$B$3)</f>
        <v/>
      </c>
      <c r="K96" s="6" t="n"/>
      <c r="L96" s="6">
        <f>IF(J96="","",J96-K96)</f>
        <v/>
      </c>
      <c r="M96" s="6">
        <f>IF(C96="","",N95)</f>
        <v/>
      </c>
      <c r="N96" s="6">
        <f>IF(L96="","",M96+L96)</f>
        <v/>
      </c>
      <c r="O96" s="6">
        <f>IF(N96="","",MAX(Settings!$B$7,N$2:N96))</f>
        <v/>
      </c>
      <c r="P96" s="6">
        <f>IF(N96="","",N96-O96)</f>
        <v/>
      </c>
      <c r="Q96" s="2">
        <f>IF(L96="","",IF(L96&gt;0,"Win",IF(L96&lt;0,"Loss","Flat")))</f>
        <v/>
      </c>
      <c r="R96" s="2" t="n"/>
    </row>
    <row r="97">
      <c r="A97" s="2">
        <f>IF(C97&lt;&gt;"",A96+1,"")</f>
        <v/>
      </c>
      <c r="B97" s="2" t="n"/>
      <c r="C97" s="2" t="n"/>
      <c r="D97" s="2" t="n"/>
      <c r="E97" s="2" t="n"/>
      <c r="F97" s="2" t="n"/>
      <c r="G97" s="6" t="n"/>
      <c r="H97" s="6" t="n"/>
      <c r="I97" s="2">
        <f>IF(OR(E97="",G97="",H97=""),"",IF(E97="Short",G97-H97,H97-G97))</f>
        <v/>
      </c>
      <c r="J97" s="6">
        <f>IF(I97="","",I97*F97*Settings!$B$3)</f>
        <v/>
      </c>
      <c r="K97" s="6" t="n"/>
      <c r="L97" s="6">
        <f>IF(J97="","",J97-K97)</f>
        <v/>
      </c>
      <c r="M97" s="6">
        <f>IF(C97="","",N96)</f>
        <v/>
      </c>
      <c r="N97" s="6">
        <f>IF(L97="","",M97+L97)</f>
        <v/>
      </c>
      <c r="O97" s="6">
        <f>IF(N97="","",MAX(Settings!$B$7,N$2:N97))</f>
        <v/>
      </c>
      <c r="P97" s="6">
        <f>IF(N97="","",N97-O97)</f>
        <v/>
      </c>
      <c r="Q97" s="2">
        <f>IF(L97="","",IF(L97&gt;0,"Win",IF(L97&lt;0,"Loss","Flat")))</f>
        <v/>
      </c>
      <c r="R97" s="2" t="n"/>
    </row>
    <row r="98">
      <c r="A98" s="2">
        <f>IF(C98&lt;&gt;"",A97+1,"")</f>
        <v/>
      </c>
      <c r="B98" s="2" t="n"/>
      <c r="C98" s="2" t="n"/>
      <c r="D98" s="2" t="n"/>
      <c r="E98" s="2" t="n"/>
      <c r="F98" s="2" t="n"/>
      <c r="G98" s="6" t="n"/>
      <c r="H98" s="6" t="n"/>
      <c r="I98" s="2">
        <f>IF(OR(E98="",G98="",H98=""),"",IF(E98="Short",G98-H98,H98-G98))</f>
        <v/>
      </c>
      <c r="J98" s="6">
        <f>IF(I98="","",I98*F98*Settings!$B$3)</f>
        <v/>
      </c>
      <c r="K98" s="6" t="n"/>
      <c r="L98" s="6">
        <f>IF(J98="","",J98-K98)</f>
        <v/>
      </c>
      <c r="M98" s="6">
        <f>IF(C98="","",N97)</f>
        <v/>
      </c>
      <c r="N98" s="6">
        <f>IF(L98="","",M98+L98)</f>
        <v/>
      </c>
      <c r="O98" s="6">
        <f>IF(N98="","",MAX(Settings!$B$7,N$2:N98))</f>
        <v/>
      </c>
      <c r="P98" s="6">
        <f>IF(N98="","",N98-O98)</f>
        <v/>
      </c>
      <c r="Q98" s="2">
        <f>IF(L98="","",IF(L98&gt;0,"Win",IF(L98&lt;0,"Loss","Flat")))</f>
        <v/>
      </c>
      <c r="R98" s="2" t="n"/>
    </row>
    <row r="99">
      <c r="A99" s="2">
        <f>IF(C99&lt;&gt;"",A98+1,"")</f>
        <v/>
      </c>
      <c r="B99" s="2" t="n"/>
      <c r="C99" s="2" t="n"/>
      <c r="D99" s="2" t="n"/>
      <c r="E99" s="2" t="n"/>
      <c r="F99" s="2" t="n"/>
      <c r="G99" s="6" t="n"/>
      <c r="H99" s="6" t="n"/>
      <c r="I99" s="2">
        <f>IF(OR(E99="",G99="",H99=""),"",IF(E99="Short",G99-H99,H99-G99))</f>
        <v/>
      </c>
      <c r="J99" s="6">
        <f>IF(I99="","",I99*F99*Settings!$B$3)</f>
        <v/>
      </c>
      <c r="K99" s="6" t="n"/>
      <c r="L99" s="6">
        <f>IF(J99="","",J99-K99)</f>
        <v/>
      </c>
      <c r="M99" s="6">
        <f>IF(C99="","",N98)</f>
        <v/>
      </c>
      <c r="N99" s="6">
        <f>IF(L99="","",M99+L99)</f>
        <v/>
      </c>
      <c r="O99" s="6">
        <f>IF(N99="","",MAX(Settings!$B$7,N$2:N99))</f>
        <v/>
      </c>
      <c r="P99" s="6">
        <f>IF(N99="","",N99-O99)</f>
        <v/>
      </c>
      <c r="Q99" s="2">
        <f>IF(L99="","",IF(L99&gt;0,"Win",IF(L99&lt;0,"Loss","Flat")))</f>
        <v/>
      </c>
      <c r="R99" s="2" t="n"/>
    </row>
    <row r="100">
      <c r="A100" s="2">
        <f>IF(C100&lt;&gt;"",A99+1,"")</f>
        <v/>
      </c>
      <c r="B100" s="2" t="n"/>
      <c r="C100" s="2" t="n"/>
      <c r="D100" s="2" t="n"/>
      <c r="E100" s="2" t="n"/>
      <c r="F100" s="2" t="n"/>
      <c r="G100" s="6" t="n"/>
      <c r="H100" s="6" t="n"/>
      <c r="I100" s="2">
        <f>IF(OR(E100="",G100="",H100=""),"",IF(E100="Short",G100-H100,H100-G100))</f>
        <v/>
      </c>
      <c r="J100" s="6">
        <f>IF(I100="","",I100*F100*Settings!$B$3)</f>
        <v/>
      </c>
      <c r="K100" s="6" t="n"/>
      <c r="L100" s="6">
        <f>IF(J100="","",J100-K100)</f>
        <v/>
      </c>
      <c r="M100" s="6">
        <f>IF(C100="","",N99)</f>
        <v/>
      </c>
      <c r="N100" s="6">
        <f>IF(L100="","",M100+L100)</f>
        <v/>
      </c>
      <c r="O100" s="6">
        <f>IF(N100="","",MAX(Settings!$B$7,N$2:N100))</f>
        <v/>
      </c>
      <c r="P100" s="6">
        <f>IF(N100="","",N100-O100)</f>
        <v/>
      </c>
      <c r="Q100" s="2">
        <f>IF(L100="","",IF(L100&gt;0,"Win",IF(L100&lt;0,"Loss","Flat")))</f>
        <v/>
      </c>
      <c r="R100" s="2" t="n"/>
    </row>
    <row r="101">
      <c r="A101" s="2">
        <f>IF(C101&lt;&gt;"",A100+1,"")</f>
        <v/>
      </c>
      <c r="B101" s="2" t="n"/>
      <c r="C101" s="2" t="n"/>
      <c r="D101" s="2" t="n"/>
      <c r="E101" s="2" t="n"/>
      <c r="F101" s="2" t="n"/>
      <c r="G101" s="6" t="n"/>
      <c r="H101" s="6" t="n"/>
      <c r="I101" s="2">
        <f>IF(OR(E101="",G101="",H101=""),"",IF(E101="Short",G101-H101,H101-G101))</f>
        <v/>
      </c>
      <c r="J101" s="6">
        <f>IF(I101="","",I101*F101*Settings!$B$3)</f>
        <v/>
      </c>
      <c r="K101" s="6" t="n"/>
      <c r="L101" s="6">
        <f>IF(J101="","",J101-K101)</f>
        <v/>
      </c>
      <c r="M101" s="6">
        <f>IF(C101="","",N100)</f>
        <v/>
      </c>
      <c r="N101" s="6">
        <f>IF(L101="","",M101+L101)</f>
        <v/>
      </c>
      <c r="O101" s="6">
        <f>IF(N101="","",MAX(Settings!$B$7,N$2:N101))</f>
        <v/>
      </c>
      <c r="P101" s="6">
        <f>IF(N101="","",N101-O101)</f>
        <v/>
      </c>
      <c r="Q101" s="2">
        <f>IF(L101="","",IF(L101&gt;0,"Win",IF(L101&lt;0,"Loss","Flat")))</f>
        <v/>
      </c>
      <c r="R101" s="2" t="n"/>
    </row>
    <row r="102">
      <c r="A102" s="2">
        <f>IF(C102&lt;&gt;"",A101+1,"")</f>
        <v/>
      </c>
      <c r="B102" s="2" t="n"/>
      <c r="C102" s="2" t="n"/>
      <c r="D102" s="2" t="n"/>
      <c r="E102" s="2" t="n"/>
      <c r="F102" s="2" t="n"/>
      <c r="G102" s="6" t="n"/>
      <c r="H102" s="6" t="n"/>
      <c r="I102" s="2">
        <f>IF(OR(E102="",G102="",H102=""),"",IF(E102="Short",G102-H102,H102-G102))</f>
        <v/>
      </c>
      <c r="J102" s="6">
        <f>IF(I102="","",I102*F102*Settings!$B$3)</f>
        <v/>
      </c>
      <c r="K102" s="6" t="n"/>
      <c r="L102" s="6">
        <f>IF(J102="","",J102-K102)</f>
        <v/>
      </c>
      <c r="M102" s="6">
        <f>IF(C102="","",N101)</f>
        <v/>
      </c>
      <c r="N102" s="6">
        <f>IF(L102="","",M102+L102)</f>
        <v/>
      </c>
      <c r="O102" s="6">
        <f>IF(N102="","",MAX(Settings!$B$7,N$2:N102))</f>
        <v/>
      </c>
      <c r="P102" s="6">
        <f>IF(N102="","",N102-O102)</f>
        <v/>
      </c>
      <c r="Q102" s="2">
        <f>IF(L102="","",IF(L102&gt;0,"Win",IF(L102&lt;0,"Loss","Flat")))</f>
        <v/>
      </c>
      <c r="R102" s="2" t="n"/>
    </row>
    <row r="103">
      <c r="A103" s="2">
        <f>IF(C103&lt;&gt;"",A102+1,"")</f>
        <v/>
      </c>
      <c r="B103" s="2" t="n"/>
      <c r="C103" s="2" t="n"/>
      <c r="D103" s="2" t="n"/>
      <c r="E103" s="2" t="n"/>
      <c r="F103" s="2" t="n"/>
      <c r="G103" s="6" t="n"/>
      <c r="H103" s="6" t="n"/>
      <c r="I103" s="2">
        <f>IF(OR(E103="",G103="",H103=""),"",IF(E103="Short",G103-H103,H103-G103))</f>
        <v/>
      </c>
      <c r="J103" s="6">
        <f>IF(I103="","",I103*F103*Settings!$B$3)</f>
        <v/>
      </c>
      <c r="K103" s="6" t="n"/>
      <c r="L103" s="6">
        <f>IF(J103="","",J103-K103)</f>
        <v/>
      </c>
      <c r="M103" s="6">
        <f>IF(C103="","",N102)</f>
        <v/>
      </c>
      <c r="N103" s="6">
        <f>IF(L103="","",M103+L103)</f>
        <v/>
      </c>
      <c r="O103" s="6">
        <f>IF(N103="","",MAX(Settings!$B$7,N$2:N103))</f>
        <v/>
      </c>
      <c r="P103" s="6">
        <f>IF(N103="","",N103-O103)</f>
        <v/>
      </c>
      <c r="Q103" s="2">
        <f>IF(L103="","",IF(L103&gt;0,"Win",IF(L103&lt;0,"Loss","Flat")))</f>
        <v/>
      </c>
      <c r="R103" s="2" t="n"/>
    </row>
    <row r="104">
      <c r="A104" s="2">
        <f>IF(C104&lt;&gt;"",A103+1,"")</f>
        <v/>
      </c>
      <c r="B104" s="2" t="n"/>
      <c r="C104" s="2" t="n"/>
      <c r="D104" s="2" t="n"/>
      <c r="E104" s="2" t="n"/>
      <c r="F104" s="2" t="n"/>
      <c r="G104" s="6" t="n"/>
      <c r="H104" s="6" t="n"/>
      <c r="I104" s="2">
        <f>IF(OR(E104="",G104="",H104=""),"",IF(E104="Short",G104-H104,H104-G104))</f>
        <v/>
      </c>
      <c r="J104" s="6">
        <f>IF(I104="","",I104*F104*Settings!$B$3)</f>
        <v/>
      </c>
      <c r="K104" s="6" t="n"/>
      <c r="L104" s="6">
        <f>IF(J104="","",J104-K104)</f>
        <v/>
      </c>
      <c r="M104" s="6">
        <f>IF(C104="","",N103)</f>
        <v/>
      </c>
      <c r="N104" s="6">
        <f>IF(L104="","",M104+L104)</f>
        <v/>
      </c>
      <c r="O104" s="6">
        <f>IF(N104="","",MAX(Settings!$B$7,N$2:N104))</f>
        <v/>
      </c>
      <c r="P104" s="6">
        <f>IF(N104="","",N104-O104)</f>
        <v/>
      </c>
      <c r="Q104" s="2">
        <f>IF(L104="","",IF(L104&gt;0,"Win",IF(L104&lt;0,"Loss","Flat")))</f>
        <v/>
      </c>
      <c r="R104" s="2" t="n"/>
    </row>
    <row r="105">
      <c r="A105" s="2">
        <f>IF(C105&lt;&gt;"",A104+1,"")</f>
        <v/>
      </c>
      <c r="B105" s="2" t="n"/>
      <c r="C105" s="2" t="n"/>
      <c r="D105" s="2" t="n"/>
      <c r="E105" s="2" t="n"/>
      <c r="F105" s="2" t="n"/>
      <c r="G105" s="6" t="n"/>
      <c r="H105" s="6" t="n"/>
      <c r="I105" s="2">
        <f>IF(OR(E105="",G105="",H105=""),"",IF(E105="Short",G105-H105,H105-G105))</f>
        <v/>
      </c>
      <c r="J105" s="6">
        <f>IF(I105="","",I105*F105*Settings!$B$3)</f>
        <v/>
      </c>
      <c r="K105" s="6" t="n"/>
      <c r="L105" s="6">
        <f>IF(J105="","",J105-K105)</f>
        <v/>
      </c>
      <c r="M105" s="6">
        <f>IF(C105="","",N104)</f>
        <v/>
      </c>
      <c r="N105" s="6">
        <f>IF(L105="","",M105+L105)</f>
        <v/>
      </c>
      <c r="O105" s="6">
        <f>IF(N105="","",MAX(Settings!$B$7,N$2:N105))</f>
        <v/>
      </c>
      <c r="P105" s="6">
        <f>IF(N105="","",N105-O105)</f>
        <v/>
      </c>
      <c r="Q105" s="2">
        <f>IF(L105="","",IF(L105&gt;0,"Win",IF(L105&lt;0,"Loss","Flat")))</f>
        <v/>
      </c>
      <c r="R105" s="2" t="n"/>
    </row>
    <row r="106">
      <c r="A106" s="2">
        <f>IF(C106&lt;&gt;"",A105+1,"")</f>
        <v/>
      </c>
      <c r="B106" s="2" t="n"/>
      <c r="C106" s="2" t="n"/>
      <c r="D106" s="2" t="n"/>
      <c r="E106" s="2" t="n"/>
      <c r="F106" s="2" t="n"/>
      <c r="G106" s="6" t="n"/>
      <c r="H106" s="6" t="n"/>
      <c r="I106" s="2">
        <f>IF(OR(E106="",G106="",H106=""),"",IF(E106="Short",G106-H106,H106-G106))</f>
        <v/>
      </c>
      <c r="J106" s="6">
        <f>IF(I106="","",I106*F106*Settings!$B$3)</f>
        <v/>
      </c>
      <c r="K106" s="6" t="n"/>
      <c r="L106" s="6">
        <f>IF(J106="","",J106-K106)</f>
        <v/>
      </c>
      <c r="M106" s="6">
        <f>IF(C106="","",N105)</f>
        <v/>
      </c>
      <c r="N106" s="6">
        <f>IF(L106="","",M106+L106)</f>
        <v/>
      </c>
      <c r="O106" s="6">
        <f>IF(N106="","",MAX(Settings!$B$7,N$2:N106))</f>
        <v/>
      </c>
      <c r="P106" s="6">
        <f>IF(N106="","",N106-O106)</f>
        <v/>
      </c>
      <c r="Q106" s="2">
        <f>IF(L106="","",IF(L106&gt;0,"Win",IF(L106&lt;0,"Loss","Flat")))</f>
        <v/>
      </c>
      <c r="R106" s="2" t="n"/>
    </row>
    <row r="107">
      <c r="A107" s="2">
        <f>IF(C107&lt;&gt;"",A106+1,"")</f>
        <v/>
      </c>
      <c r="B107" s="2" t="n"/>
      <c r="C107" s="2" t="n"/>
      <c r="D107" s="2" t="n"/>
      <c r="E107" s="2" t="n"/>
      <c r="F107" s="2" t="n"/>
      <c r="G107" s="6" t="n"/>
      <c r="H107" s="6" t="n"/>
      <c r="I107" s="2">
        <f>IF(OR(E107="",G107="",H107=""),"",IF(E107="Short",G107-H107,H107-G107))</f>
        <v/>
      </c>
      <c r="J107" s="6">
        <f>IF(I107="","",I107*F107*Settings!$B$3)</f>
        <v/>
      </c>
      <c r="K107" s="6" t="n"/>
      <c r="L107" s="6">
        <f>IF(J107="","",J107-K107)</f>
        <v/>
      </c>
      <c r="M107" s="6">
        <f>IF(C107="","",N106)</f>
        <v/>
      </c>
      <c r="N107" s="6">
        <f>IF(L107="","",M107+L107)</f>
        <v/>
      </c>
      <c r="O107" s="6">
        <f>IF(N107="","",MAX(Settings!$B$7,N$2:N107))</f>
        <v/>
      </c>
      <c r="P107" s="6">
        <f>IF(N107="","",N107-O107)</f>
        <v/>
      </c>
      <c r="Q107" s="2">
        <f>IF(L107="","",IF(L107&gt;0,"Win",IF(L107&lt;0,"Loss","Flat")))</f>
        <v/>
      </c>
      <c r="R107" s="2" t="n"/>
    </row>
    <row r="108">
      <c r="A108" s="2">
        <f>IF(C108&lt;&gt;"",A107+1,"")</f>
        <v/>
      </c>
      <c r="B108" s="2" t="n"/>
      <c r="C108" s="2" t="n"/>
      <c r="D108" s="2" t="n"/>
      <c r="E108" s="2" t="n"/>
      <c r="F108" s="2" t="n"/>
      <c r="G108" s="6" t="n"/>
      <c r="H108" s="6" t="n"/>
      <c r="I108" s="2">
        <f>IF(OR(E108="",G108="",H108=""),"",IF(E108="Short",G108-H108,H108-G108))</f>
        <v/>
      </c>
      <c r="J108" s="6">
        <f>IF(I108="","",I108*F108*Settings!$B$3)</f>
        <v/>
      </c>
      <c r="K108" s="6" t="n"/>
      <c r="L108" s="6">
        <f>IF(J108="","",J108-K108)</f>
        <v/>
      </c>
      <c r="M108" s="6">
        <f>IF(C108="","",N107)</f>
        <v/>
      </c>
      <c r="N108" s="6">
        <f>IF(L108="","",M108+L108)</f>
        <v/>
      </c>
      <c r="O108" s="6">
        <f>IF(N108="","",MAX(Settings!$B$7,N$2:N108))</f>
        <v/>
      </c>
      <c r="P108" s="6">
        <f>IF(N108="","",N108-O108)</f>
        <v/>
      </c>
      <c r="Q108" s="2">
        <f>IF(L108="","",IF(L108&gt;0,"Win",IF(L108&lt;0,"Loss","Flat")))</f>
        <v/>
      </c>
      <c r="R108" s="2" t="n"/>
    </row>
    <row r="109">
      <c r="A109" s="2">
        <f>IF(C109&lt;&gt;"",A108+1,"")</f>
        <v/>
      </c>
      <c r="B109" s="2" t="n"/>
      <c r="C109" s="2" t="n"/>
      <c r="D109" s="2" t="n"/>
      <c r="E109" s="2" t="n"/>
      <c r="F109" s="2" t="n"/>
      <c r="G109" s="6" t="n"/>
      <c r="H109" s="6" t="n"/>
      <c r="I109" s="2">
        <f>IF(OR(E109="",G109="",H109=""),"",IF(E109="Short",G109-H109,H109-G109))</f>
        <v/>
      </c>
      <c r="J109" s="6">
        <f>IF(I109="","",I109*F109*Settings!$B$3)</f>
        <v/>
      </c>
      <c r="K109" s="6" t="n"/>
      <c r="L109" s="6">
        <f>IF(J109="","",J109-K109)</f>
        <v/>
      </c>
      <c r="M109" s="6">
        <f>IF(C109="","",N108)</f>
        <v/>
      </c>
      <c r="N109" s="6">
        <f>IF(L109="","",M109+L109)</f>
        <v/>
      </c>
      <c r="O109" s="6">
        <f>IF(N109="","",MAX(Settings!$B$7,N$2:N109))</f>
        <v/>
      </c>
      <c r="P109" s="6">
        <f>IF(N109="","",N109-O109)</f>
        <v/>
      </c>
      <c r="Q109" s="2">
        <f>IF(L109="","",IF(L109&gt;0,"Win",IF(L109&lt;0,"Loss","Flat")))</f>
        <v/>
      </c>
      <c r="R109" s="2" t="n"/>
    </row>
    <row r="110">
      <c r="A110" s="2">
        <f>IF(C110&lt;&gt;"",A109+1,"")</f>
        <v/>
      </c>
      <c r="B110" s="2" t="n"/>
      <c r="C110" s="2" t="n"/>
      <c r="D110" s="2" t="n"/>
      <c r="E110" s="2" t="n"/>
      <c r="F110" s="2" t="n"/>
      <c r="G110" s="6" t="n"/>
      <c r="H110" s="6" t="n"/>
      <c r="I110" s="2">
        <f>IF(OR(E110="",G110="",H110=""),"",IF(E110="Short",G110-H110,H110-G110))</f>
        <v/>
      </c>
      <c r="J110" s="6">
        <f>IF(I110="","",I110*F110*Settings!$B$3)</f>
        <v/>
      </c>
      <c r="K110" s="6" t="n"/>
      <c r="L110" s="6">
        <f>IF(J110="","",J110-K110)</f>
        <v/>
      </c>
      <c r="M110" s="6">
        <f>IF(C110="","",N109)</f>
        <v/>
      </c>
      <c r="N110" s="6">
        <f>IF(L110="","",M110+L110)</f>
        <v/>
      </c>
      <c r="O110" s="6">
        <f>IF(N110="","",MAX(Settings!$B$7,N$2:N110))</f>
        <v/>
      </c>
      <c r="P110" s="6">
        <f>IF(N110="","",N110-O110)</f>
        <v/>
      </c>
      <c r="Q110" s="2">
        <f>IF(L110="","",IF(L110&gt;0,"Win",IF(L110&lt;0,"Loss","Flat")))</f>
        <v/>
      </c>
      <c r="R110" s="2" t="n"/>
    </row>
    <row r="111">
      <c r="A111" s="2">
        <f>IF(C111&lt;&gt;"",A110+1,"")</f>
        <v/>
      </c>
      <c r="B111" s="2" t="n"/>
      <c r="C111" s="2" t="n"/>
      <c r="D111" s="2" t="n"/>
      <c r="E111" s="2" t="n"/>
      <c r="F111" s="2" t="n"/>
      <c r="G111" s="6" t="n"/>
      <c r="H111" s="6" t="n"/>
      <c r="I111" s="2">
        <f>IF(OR(E111="",G111="",H111=""),"",IF(E111="Short",G111-H111,H111-G111))</f>
        <v/>
      </c>
      <c r="J111" s="6">
        <f>IF(I111="","",I111*F111*Settings!$B$3)</f>
        <v/>
      </c>
      <c r="K111" s="6" t="n"/>
      <c r="L111" s="6">
        <f>IF(J111="","",J111-K111)</f>
        <v/>
      </c>
      <c r="M111" s="6">
        <f>IF(C111="","",N110)</f>
        <v/>
      </c>
      <c r="N111" s="6">
        <f>IF(L111="","",M111+L111)</f>
        <v/>
      </c>
      <c r="O111" s="6">
        <f>IF(N111="","",MAX(Settings!$B$7,N$2:N111))</f>
        <v/>
      </c>
      <c r="P111" s="6">
        <f>IF(N111="","",N111-O111)</f>
        <v/>
      </c>
      <c r="Q111" s="2">
        <f>IF(L111="","",IF(L111&gt;0,"Win",IF(L111&lt;0,"Loss","Flat")))</f>
        <v/>
      </c>
      <c r="R111" s="2" t="n"/>
    </row>
    <row r="112">
      <c r="A112" s="2">
        <f>IF(C112&lt;&gt;"",A111+1,"")</f>
        <v/>
      </c>
      <c r="B112" s="2" t="n"/>
      <c r="C112" s="2" t="n"/>
      <c r="D112" s="2" t="n"/>
      <c r="E112" s="2" t="n"/>
      <c r="F112" s="2" t="n"/>
      <c r="G112" s="6" t="n"/>
      <c r="H112" s="6" t="n"/>
      <c r="I112" s="2">
        <f>IF(OR(E112="",G112="",H112=""),"",IF(E112="Short",G112-H112,H112-G112))</f>
        <v/>
      </c>
      <c r="J112" s="6">
        <f>IF(I112="","",I112*F112*Settings!$B$3)</f>
        <v/>
      </c>
      <c r="K112" s="6" t="n"/>
      <c r="L112" s="6">
        <f>IF(J112="","",J112-K112)</f>
        <v/>
      </c>
      <c r="M112" s="6">
        <f>IF(C112="","",N111)</f>
        <v/>
      </c>
      <c r="N112" s="6">
        <f>IF(L112="","",M112+L112)</f>
        <v/>
      </c>
      <c r="O112" s="6">
        <f>IF(N112="","",MAX(Settings!$B$7,N$2:N112))</f>
        <v/>
      </c>
      <c r="P112" s="6">
        <f>IF(N112="","",N112-O112)</f>
        <v/>
      </c>
      <c r="Q112" s="2">
        <f>IF(L112="","",IF(L112&gt;0,"Win",IF(L112&lt;0,"Loss","Flat")))</f>
        <v/>
      </c>
      <c r="R112" s="2" t="n"/>
    </row>
    <row r="113">
      <c r="A113" s="2">
        <f>IF(C113&lt;&gt;"",A112+1,"")</f>
        <v/>
      </c>
      <c r="B113" s="2" t="n"/>
      <c r="C113" s="2" t="n"/>
      <c r="D113" s="2" t="n"/>
      <c r="E113" s="2" t="n"/>
      <c r="F113" s="2" t="n"/>
      <c r="G113" s="6" t="n"/>
      <c r="H113" s="6" t="n"/>
      <c r="I113" s="2">
        <f>IF(OR(E113="",G113="",H113=""),"",IF(E113="Short",G113-H113,H113-G113))</f>
        <v/>
      </c>
      <c r="J113" s="6">
        <f>IF(I113="","",I113*F113*Settings!$B$3)</f>
        <v/>
      </c>
      <c r="K113" s="6" t="n"/>
      <c r="L113" s="6">
        <f>IF(J113="","",J113-K113)</f>
        <v/>
      </c>
      <c r="M113" s="6">
        <f>IF(C113="","",N112)</f>
        <v/>
      </c>
      <c r="N113" s="6">
        <f>IF(L113="","",M113+L113)</f>
        <v/>
      </c>
      <c r="O113" s="6">
        <f>IF(N113="","",MAX(Settings!$B$7,N$2:N113))</f>
        <v/>
      </c>
      <c r="P113" s="6">
        <f>IF(N113="","",N113-O113)</f>
        <v/>
      </c>
      <c r="Q113" s="2">
        <f>IF(L113="","",IF(L113&gt;0,"Win",IF(L113&lt;0,"Loss","Flat")))</f>
        <v/>
      </c>
      <c r="R113" s="2" t="n"/>
    </row>
    <row r="114">
      <c r="A114" s="2">
        <f>IF(C114&lt;&gt;"",A113+1,"")</f>
        <v/>
      </c>
      <c r="B114" s="2" t="n"/>
      <c r="C114" s="2" t="n"/>
      <c r="D114" s="2" t="n"/>
      <c r="E114" s="2" t="n"/>
      <c r="F114" s="2" t="n"/>
      <c r="G114" s="6" t="n"/>
      <c r="H114" s="6" t="n"/>
      <c r="I114" s="2">
        <f>IF(OR(E114="",G114="",H114=""),"",IF(E114="Short",G114-H114,H114-G114))</f>
        <v/>
      </c>
      <c r="J114" s="6">
        <f>IF(I114="","",I114*F114*Settings!$B$3)</f>
        <v/>
      </c>
      <c r="K114" s="6" t="n"/>
      <c r="L114" s="6">
        <f>IF(J114="","",J114-K114)</f>
        <v/>
      </c>
      <c r="M114" s="6">
        <f>IF(C114="","",N113)</f>
        <v/>
      </c>
      <c r="N114" s="6">
        <f>IF(L114="","",M114+L114)</f>
        <v/>
      </c>
      <c r="O114" s="6">
        <f>IF(N114="","",MAX(Settings!$B$7,N$2:N114))</f>
        <v/>
      </c>
      <c r="P114" s="6">
        <f>IF(N114="","",N114-O114)</f>
        <v/>
      </c>
      <c r="Q114" s="2">
        <f>IF(L114="","",IF(L114&gt;0,"Win",IF(L114&lt;0,"Loss","Flat")))</f>
        <v/>
      </c>
      <c r="R114" s="2" t="n"/>
    </row>
    <row r="115">
      <c r="A115" s="2">
        <f>IF(C115&lt;&gt;"",A114+1,"")</f>
        <v/>
      </c>
      <c r="B115" s="2" t="n"/>
      <c r="C115" s="2" t="n"/>
      <c r="D115" s="2" t="n"/>
      <c r="E115" s="2" t="n"/>
      <c r="F115" s="2" t="n"/>
      <c r="G115" s="6" t="n"/>
      <c r="H115" s="6" t="n"/>
      <c r="I115" s="2">
        <f>IF(OR(E115="",G115="",H115=""),"",IF(E115="Short",G115-H115,H115-G115))</f>
        <v/>
      </c>
      <c r="J115" s="6">
        <f>IF(I115="","",I115*F115*Settings!$B$3)</f>
        <v/>
      </c>
      <c r="K115" s="6" t="n"/>
      <c r="L115" s="6">
        <f>IF(J115="","",J115-K115)</f>
        <v/>
      </c>
      <c r="M115" s="6">
        <f>IF(C115="","",N114)</f>
        <v/>
      </c>
      <c r="N115" s="6">
        <f>IF(L115="","",M115+L115)</f>
        <v/>
      </c>
      <c r="O115" s="6">
        <f>IF(N115="","",MAX(Settings!$B$7,N$2:N115))</f>
        <v/>
      </c>
      <c r="P115" s="6">
        <f>IF(N115="","",N115-O115)</f>
        <v/>
      </c>
      <c r="Q115" s="2">
        <f>IF(L115="","",IF(L115&gt;0,"Win",IF(L115&lt;0,"Loss","Flat")))</f>
        <v/>
      </c>
      <c r="R115" s="2" t="n"/>
    </row>
    <row r="116">
      <c r="A116" s="2">
        <f>IF(C116&lt;&gt;"",A115+1,"")</f>
        <v/>
      </c>
      <c r="B116" s="2" t="n"/>
      <c r="C116" s="2" t="n"/>
      <c r="D116" s="2" t="n"/>
      <c r="E116" s="2" t="n"/>
      <c r="F116" s="2" t="n"/>
      <c r="G116" s="6" t="n"/>
      <c r="H116" s="6" t="n"/>
      <c r="I116" s="2">
        <f>IF(OR(E116="",G116="",H116=""),"",IF(E116="Short",G116-H116,H116-G116))</f>
        <v/>
      </c>
      <c r="J116" s="6">
        <f>IF(I116="","",I116*F116*Settings!$B$3)</f>
        <v/>
      </c>
      <c r="K116" s="6" t="n"/>
      <c r="L116" s="6">
        <f>IF(J116="","",J116-K116)</f>
        <v/>
      </c>
      <c r="M116" s="6">
        <f>IF(C116="","",N115)</f>
        <v/>
      </c>
      <c r="N116" s="6">
        <f>IF(L116="","",M116+L116)</f>
        <v/>
      </c>
      <c r="O116" s="6">
        <f>IF(N116="","",MAX(Settings!$B$7,N$2:N116))</f>
        <v/>
      </c>
      <c r="P116" s="6">
        <f>IF(N116="","",N116-O116)</f>
        <v/>
      </c>
      <c r="Q116" s="2">
        <f>IF(L116="","",IF(L116&gt;0,"Win",IF(L116&lt;0,"Loss","Flat")))</f>
        <v/>
      </c>
      <c r="R116" s="2" t="n"/>
    </row>
    <row r="117">
      <c r="A117" s="2">
        <f>IF(C117&lt;&gt;"",A116+1,"")</f>
        <v/>
      </c>
      <c r="B117" s="2" t="n"/>
      <c r="C117" s="2" t="n"/>
      <c r="D117" s="2" t="n"/>
      <c r="E117" s="2" t="n"/>
      <c r="F117" s="2" t="n"/>
      <c r="G117" s="6" t="n"/>
      <c r="H117" s="6" t="n"/>
      <c r="I117" s="2">
        <f>IF(OR(E117="",G117="",H117=""),"",IF(E117="Short",G117-H117,H117-G117))</f>
        <v/>
      </c>
      <c r="J117" s="6">
        <f>IF(I117="","",I117*F117*Settings!$B$3)</f>
        <v/>
      </c>
      <c r="K117" s="6" t="n"/>
      <c r="L117" s="6">
        <f>IF(J117="","",J117-K117)</f>
        <v/>
      </c>
      <c r="M117" s="6">
        <f>IF(C117="","",N116)</f>
        <v/>
      </c>
      <c r="N117" s="6">
        <f>IF(L117="","",M117+L117)</f>
        <v/>
      </c>
      <c r="O117" s="6">
        <f>IF(N117="","",MAX(Settings!$B$7,N$2:N117))</f>
        <v/>
      </c>
      <c r="P117" s="6">
        <f>IF(N117="","",N117-O117)</f>
        <v/>
      </c>
      <c r="Q117" s="2">
        <f>IF(L117="","",IF(L117&gt;0,"Win",IF(L117&lt;0,"Loss","Flat")))</f>
        <v/>
      </c>
      <c r="R117" s="2" t="n"/>
    </row>
    <row r="118">
      <c r="A118" s="2">
        <f>IF(C118&lt;&gt;"",A117+1,"")</f>
        <v/>
      </c>
      <c r="B118" s="2" t="n"/>
      <c r="C118" s="2" t="n"/>
      <c r="D118" s="2" t="n"/>
      <c r="E118" s="2" t="n"/>
      <c r="F118" s="2" t="n"/>
      <c r="G118" s="6" t="n"/>
      <c r="H118" s="6" t="n"/>
      <c r="I118" s="2">
        <f>IF(OR(E118="",G118="",H118=""),"",IF(E118="Short",G118-H118,H118-G118))</f>
        <v/>
      </c>
      <c r="J118" s="6">
        <f>IF(I118="","",I118*F118*Settings!$B$3)</f>
        <v/>
      </c>
      <c r="K118" s="6" t="n"/>
      <c r="L118" s="6">
        <f>IF(J118="","",J118-K118)</f>
        <v/>
      </c>
      <c r="M118" s="6">
        <f>IF(C118="","",N117)</f>
        <v/>
      </c>
      <c r="N118" s="6">
        <f>IF(L118="","",M118+L118)</f>
        <v/>
      </c>
      <c r="O118" s="6">
        <f>IF(N118="","",MAX(Settings!$B$7,N$2:N118))</f>
        <v/>
      </c>
      <c r="P118" s="6">
        <f>IF(N118="","",N118-O118)</f>
        <v/>
      </c>
      <c r="Q118" s="2">
        <f>IF(L118="","",IF(L118&gt;0,"Win",IF(L118&lt;0,"Loss","Flat")))</f>
        <v/>
      </c>
      <c r="R118" s="2" t="n"/>
    </row>
    <row r="119">
      <c r="A119" s="2">
        <f>IF(C119&lt;&gt;"",A118+1,"")</f>
        <v/>
      </c>
      <c r="B119" s="2" t="n"/>
      <c r="C119" s="2" t="n"/>
      <c r="D119" s="2" t="n"/>
      <c r="E119" s="2" t="n"/>
      <c r="F119" s="2" t="n"/>
      <c r="G119" s="6" t="n"/>
      <c r="H119" s="6" t="n"/>
      <c r="I119" s="2">
        <f>IF(OR(E119="",G119="",H119=""),"",IF(E119="Short",G119-H119,H119-G119))</f>
        <v/>
      </c>
      <c r="J119" s="6">
        <f>IF(I119="","",I119*F119*Settings!$B$3)</f>
        <v/>
      </c>
      <c r="K119" s="6" t="n"/>
      <c r="L119" s="6">
        <f>IF(J119="","",J119-K119)</f>
        <v/>
      </c>
      <c r="M119" s="6">
        <f>IF(C119="","",N118)</f>
        <v/>
      </c>
      <c r="N119" s="6">
        <f>IF(L119="","",M119+L119)</f>
        <v/>
      </c>
      <c r="O119" s="6">
        <f>IF(N119="","",MAX(Settings!$B$7,N$2:N119))</f>
        <v/>
      </c>
      <c r="P119" s="6">
        <f>IF(N119="","",N119-O119)</f>
        <v/>
      </c>
      <c r="Q119" s="2">
        <f>IF(L119="","",IF(L119&gt;0,"Win",IF(L119&lt;0,"Loss","Flat")))</f>
        <v/>
      </c>
      <c r="R119" s="2" t="n"/>
    </row>
    <row r="120">
      <c r="A120" s="2">
        <f>IF(C120&lt;&gt;"",A119+1,"")</f>
        <v/>
      </c>
      <c r="B120" s="2" t="n"/>
      <c r="C120" s="2" t="n"/>
      <c r="D120" s="2" t="n"/>
      <c r="E120" s="2" t="n"/>
      <c r="F120" s="2" t="n"/>
      <c r="G120" s="6" t="n"/>
      <c r="H120" s="6" t="n"/>
      <c r="I120" s="2">
        <f>IF(OR(E120="",G120="",H120=""),"",IF(E120="Short",G120-H120,H120-G120))</f>
        <v/>
      </c>
      <c r="J120" s="6">
        <f>IF(I120="","",I120*F120*Settings!$B$3)</f>
        <v/>
      </c>
      <c r="K120" s="6" t="n"/>
      <c r="L120" s="6">
        <f>IF(J120="","",J120-K120)</f>
        <v/>
      </c>
      <c r="M120" s="6">
        <f>IF(C120="","",N119)</f>
        <v/>
      </c>
      <c r="N120" s="6">
        <f>IF(L120="","",M120+L120)</f>
        <v/>
      </c>
      <c r="O120" s="6">
        <f>IF(N120="","",MAX(Settings!$B$7,N$2:N120))</f>
        <v/>
      </c>
      <c r="P120" s="6">
        <f>IF(N120="","",N120-O120)</f>
        <v/>
      </c>
      <c r="Q120" s="2">
        <f>IF(L120="","",IF(L120&gt;0,"Win",IF(L120&lt;0,"Loss","Flat")))</f>
        <v/>
      </c>
      <c r="R120" s="2" t="n"/>
    </row>
    <row r="121">
      <c r="A121" s="2">
        <f>IF(C121&lt;&gt;"",A120+1,"")</f>
        <v/>
      </c>
      <c r="B121" s="2" t="n"/>
      <c r="C121" s="2" t="n"/>
      <c r="D121" s="2" t="n"/>
      <c r="E121" s="2" t="n"/>
      <c r="F121" s="2" t="n"/>
      <c r="G121" s="6" t="n"/>
      <c r="H121" s="6" t="n"/>
      <c r="I121" s="2">
        <f>IF(OR(E121="",G121="",H121=""),"",IF(E121="Short",G121-H121,H121-G121))</f>
        <v/>
      </c>
      <c r="J121" s="6">
        <f>IF(I121="","",I121*F121*Settings!$B$3)</f>
        <v/>
      </c>
      <c r="K121" s="6" t="n"/>
      <c r="L121" s="6">
        <f>IF(J121="","",J121-K121)</f>
        <v/>
      </c>
      <c r="M121" s="6">
        <f>IF(C121="","",N120)</f>
        <v/>
      </c>
      <c r="N121" s="6">
        <f>IF(L121="","",M121+L121)</f>
        <v/>
      </c>
      <c r="O121" s="6">
        <f>IF(N121="","",MAX(Settings!$B$7,N$2:N121))</f>
        <v/>
      </c>
      <c r="P121" s="6">
        <f>IF(N121="","",N121-O121)</f>
        <v/>
      </c>
      <c r="Q121" s="2">
        <f>IF(L121="","",IF(L121&gt;0,"Win",IF(L121&lt;0,"Loss","Flat")))</f>
        <v/>
      </c>
      <c r="R121" s="2" t="n"/>
    </row>
    <row r="122">
      <c r="A122" s="2">
        <f>IF(C122&lt;&gt;"",A121+1,"")</f>
        <v/>
      </c>
      <c r="B122" s="2" t="n"/>
      <c r="C122" s="2" t="n"/>
      <c r="D122" s="2" t="n"/>
      <c r="E122" s="2" t="n"/>
      <c r="F122" s="2" t="n"/>
      <c r="G122" s="6" t="n"/>
      <c r="H122" s="6" t="n"/>
      <c r="I122" s="2">
        <f>IF(OR(E122="",G122="",H122=""),"",IF(E122="Short",G122-H122,H122-G122))</f>
        <v/>
      </c>
      <c r="J122" s="6">
        <f>IF(I122="","",I122*F122*Settings!$B$3)</f>
        <v/>
      </c>
      <c r="K122" s="6" t="n"/>
      <c r="L122" s="6">
        <f>IF(J122="","",J122-K122)</f>
        <v/>
      </c>
      <c r="M122" s="6">
        <f>IF(C122="","",N121)</f>
        <v/>
      </c>
      <c r="N122" s="6">
        <f>IF(L122="","",M122+L122)</f>
        <v/>
      </c>
      <c r="O122" s="6">
        <f>IF(N122="","",MAX(Settings!$B$7,N$2:N122))</f>
        <v/>
      </c>
      <c r="P122" s="6">
        <f>IF(N122="","",N122-O122)</f>
        <v/>
      </c>
      <c r="Q122" s="2">
        <f>IF(L122="","",IF(L122&gt;0,"Win",IF(L122&lt;0,"Loss","Flat")))</f>
        <v/>
      </c>
      <c r="R122" s="2" t="n"/>
    </row>
    <row r="123">
      <c r="A123" s="2">
        <f>IF(C123&lt;&gt;"",A122+1,"")</f>
        <v/>
      </c>
      <c r="B123" s="2" t="n"/>
      <c r="C123" s="2" t="n"/>
      <c r="D123" s="2" t="n"/>
      <c r="E123" s="2" t="n"/>
      <c r="F123" s="2" t="n"/>
      <c r="G123" s="6" t="n"/>
      <c r="H123" s="6" t="n"/>
      <c r="I123" s="2">
        <f>IF(OR(E123="",G123="",H123=""),"",IF(E123="Short",G123-H123,H123-G123))</f>
        <v/>
      </c>
      <c r="J123" s="6">
        <f>IF(I123="","",I123*F123*Settings!$B$3)</f>
        <v/>
      </c>
      <c r="K123" s="6" t="n"/>
      <c r="L123" s="6">
        <f>IF(J123="","",J123-K123)</f>
        <v/>
      </c>
      <c r="M123" s="6">
        <f>IF(C123="","",N122)</f>
        <v/>
      </c>
      <c r="N123" s="6">
        <f>IF(L123="","",M123+L123)</f>
        <v/>
      </c>
      <c r="O123" s="6">
        <f>IF(N123="","",MAX(Settings!$B$7,N$2:N123))</f>
        <v/>
      </c>
      <c r="P123" s="6">
        <f>IF(N123="","",N123-O123)</f>
        <v/>
      </c>
      <c r="Q123" s="2">
        <f>IF(L123="","",IF(L123&gt;0,"Win",IF(L123&lt;0,"Loss","Flat")))</f>
        <v/>
      </c>
      <c r="R123" s="2" t="n"/>
    </row>
    <row r="124">
      <c r="A124" s="2">
        <f>IF(C124&lt;&gt;"",A123+1,"")</f>
        <v/>
      </c>
      <c r="B124" s="2" t="n"/>
      <c r="C124" s="2" t="n"/>
      <c r="D124" s="2" t="n"/>
      <c r="E124" s="2" t="n"/>
      <c r="F124" s="2" t="n"/>
      <c r="G124" s="6" t="n"/>
      <c r="H124" s="6" t="n"/>
      <c r="I124" s="2">
        <f>IF(OR(E124="",G124="",H124=""),"",IF(E124="Short",G124-H124,H124-G124))</f>
        <v/>
      </c>
      <c r="J124" s="6">
        <f>IF(I124="","",I124*F124*Settings!$B$3)</f>
        <v/>
      </c>
      <c r="K124" s="6" t="n"/>
      <c r="L124" s="6">
        <f>IF(J124="","",J124-K124)</f>
        <v/>
      </c>
      <c r="M124" s="6">
        <f>IF(C124="","",N123)</f>
        <v/>
      </c>
      <c r="N124" s="6">
        <f>IF(L124="","",M124+L124)</f>
        <v/>
      </c>
      <c r="O124" s="6">
        <f>IF(N124="","",MAX(Settings!$B$7,N$2:N124))</f>
        <v/>
      </c>
      <c r="P124" s="6">
        <f>IF(N124="","",N124-O124)</f>
        <v/>
      </c>
      <c r="Q124" s="2">
        <f>IF(L124="","",IF(L124&gt;0,"Win",IF(L124&lt;0,"Loss","Flat")))</f>
        <v/>
      </c>
      <c r="R124" s="2" t="n"/>
    </row>
    <row r="125">
      <c r="A125" s="2">
        <f>IF(C125&lt;&gt;"",A124+1,"")</f>
        <v/>
      </c>
      <c r="B125" s="2" t="n"/>
      <c r="C125" s="2" t="n"/>
      <c r="D125" s="2" t="n"/>
      <c r="E125" s="2" t="n"/>
      <c r="F125" s="2" t="n"/>
      <c r="G125" s="6" t="n"/>
      <c r="H125" s="6" t="n"/>
      <c r="I125" s="2">
        <f>IF(OR(E125="",G125="",H125=""),"",IF(E125="Short",G125-H125,H125-G125))</f>
        <v/>
      </c>
      <c r="J125" s="6">
        <f>IF(I125="","",I125*F125*Settings!$B$3)</f>
        <v/>
      </c>
      <c r="K125" s="6" t="n"/>
      <c r="L125" s="6">
        <f>IF(J125="","",J125-K125)</f>
        <v/>
      </c>
      <c r="M125" s="6">
        <f>IF(C125="","",N124)</f>
        <v/>
      </c>
      <c r="N125" s="6">
        <f>IF(L125="","",M125+L125)</f>
        <v/>
      </c>
      <c r="O125" s="6">
        <f>IF(N125="","",MAX(Settings!$B$7,N$2:N125))</f>
        <v/>
      </c>
      <c r="P125" s="6">
        <f>IF(N125="","",N125-O125)</f>
        <v/>
      </c>
      <c r="Q125" s="2">
        <f>IF(L125="","",IF(L125&gt;0,"Win",IF(L125&lt;0,"Loss","Flat")))</f>
        <v/>
      </c>
      <c r="R125" s="2" t="n"/>
    </row>
    <row r="126">
      <c r="A126" s="2">
        <f>IF(C126&lt;&gt;"",A125+1,"")</f>
        <v/>
      </c>
      <c r="B126" s="2" t="n"/>
      <c r="C126" s="2" t="n"/>
      <c r="D126" s="2" t="n"/>
      <c r="E126" s="2" t="n"/>
      <c r="F126" s="2" t="n"/>
      <c r="G126" s="6" t="n"/>
      <c r="H126" s="6" t="n"/>
      <c r="I126" s="2">
        <f>IF(OR(E126="",G126="",H126=""),"",IF(E126="Short",G126-H126,H126-G126))</f>
        <v/>
      </c>
      <c r="J126" s="6">
        <f>IF(I126="","",I126*F126*Settings!$B$3)</f>
        <v/>
      </c>
      <c r="K126" s="6" t="n"/>
      <c r="L126" s="6">
        <f>IF(J126="","",J126-K126)</f>
        <v/>
      </c>
      <c r="M126" s="6">
        <f>IF(C126="","",N125)</f>
        <v/>
      </c>
      <c r="N126" s="6">
        <f>IF(L126="","",M126+L126)</f>
        <v/>
      </c>
      <c r="O126" s="6">
        <f>IF(N126="","",MAX(Settings!$B$7,N$2:N126))</f>
        <v/>
      </c>
      <c r="P126" s="6">
        <f>IF(N126="","",N126-O126)</f>
        <v/>
      </c>
      <c r="Q126" s="2">
        <f>IF(L126="","",IF(L126&gt;0,"Win",IF(L126&lt;0,"Loss","Flat")))</f>
        <v/>
      </c>
      <c r="R126" s="2" t="n"/>
    </row>
    <row r="127">
      <c r="A127" s="2">
        <f>IF(C127&lt;&gt;"",A126+1,"")</f>
        <v/>
      </c>
      <c r="B127" s="2" t="n"/>
      <c r="C127" s="2" t="n"/>
      <c r="D127" s="2" t="n"/>
      <c r="E127" s="2" t="n"/>
      <c r="F127" s="2" t="n"/>
      <c r="G127" s="6" t="n"/>
      <c r="H127" s="6" t="n"/>
      <c r="I127" s="2">
        <f>IF(OR(E127="",G127="",H127=""),"",IF(E127="Short",G127-H127,H127-G127))</f>
        <v/>
      </c>
      <c r="J127" s="6">
        <f>IF(I127="","",I127*F127*Settings!$B$3)</f>
        <v/>
      </c>
      <c r="K127" s="6" t="n"/>
      <c r="L127" s="6">
        <f>IF(J127="","",J127-K127)</f>
        <v/>
      </c>
      <c r="M127" s="6">
        <f>IF(C127="","",N126)</f>
        <v/>
      </c>
      <c r="N127" s="6">
        <f>IF(L127="","",M127+L127)</f>
        <v/>
      </c>
      <c r="O127" s="6">
        <f>IF(N127="","",MAX(Settings!$B$7,N$2:N127))</f>
        <v/>
      </c>
      <c r="P127" s="6">
        <f>IF(N127="","",N127-O127)</f>
        <v/>
      </c>
      <c r="Q127" s="2">
        <f>IF(L127="","",IF(L127&gt;0,"Win",IF(L127&lt;0,"Loss","Flat")))</f>
        <v/>
      </c>
      <c r="R127" s="2" t="n"/>
    </row>
    <row r="128">
      <c r="A128" s="2">
        <f>IF(C128&lt;&gt;"",A127+1,"")</f>
        <v/>
      </c>
      <c r="B128" s="2" t="n"/>
      <c r="C128" s="2" t="n"/>
      <c r="D128" s="2" t="n"/>
      <c r="E128" s="2" t="n"/>
      <c r="F128" s="2" t="n"/>
      <c r="G128" s="6" t="n"/>
      <c r="H128" s="6" t="n"/>
      <c r="I128" s="2">
        <f>IF(OR(E128="",G128="",H128=""),"",IF(E128="Short",G128-H128,H128-G128))</f>
        <v/>
      </c>
      <c r="J128" s="6">
        <f>IF(I128="","",I128*F128*Settings!$B$3)</f>
        <v/>
      </c>
      <c r="K128" s="6" t="n"/>
      <c r="L128" s="6">
        <f>IF(J128="","",J128-K128)</f>
        <v/>
      </c>
      <c r="M128" s="6">
        <f>IF(C128="","",N127)</f>
        <v/>
      </c>
      <c r="N128" s="6">
        <f>IF(L128="","",M128+L128)</f>
        <v/>
      </c>
      <c r="O128" s="6">
        <f>IF(N128="","",MAX(Settings!$B$7,N$2:N128))</f>
        <v/>
      </c>
      <c r="P128" s="6">
        <f>IF(N128="","",N128-O128)</f>
        <v/>
      </c>
      <c r="Q128" s="2">
        <f>IF(L128="","",IF(L128&gt;0,"Win",IF(L128&lt;0,"Loss","Flat")))</f>
        <v/>
      </c>
      <c r="R128" s="2" t="n"/>
    </row>
    <row r="129">
      <c r="A129" s="2">
        <f>IF(C129&lt;&gt;"",A128+1,"")</f>
        <v/>
      </c>
      <c r="B129" s="2" t="n"/>
      <c r="C129" s="2" t="n"/>
      <c r="D129" s="2" t="n"/>
      <c r="E129" s="2" t="n"/>
      <c r="F129" s="2" t="n"/>
      <c r="G129" s="6" t="n"/>
      <c r="H129" s="6" t="n"/>
      <c r="I129" s="2">
        <f>IF(OR(E129="",G129="",H129=""),"",IF(E129="Short",G129-H129,H129-G129))</f>
        <v/>
      </c>
      <c r="J129" s="6">
        <f>IF(I129="","",I129*F129*Settings!$B$3)</f>
        <v/>
      </c>
      <c r="K129" s="6" t="n"/>
      <c r="L129" s="6">
        <f>IF(J129="","",J129-K129)</f>
        <v/>
      </c>
      <c r="M129" s="6">
        <f>IF(C129="","",N128)</f>
        <v/>
      </c>
      <c r="N129" s="6">
        <f>IF(L129="","",M129+L129)</f>
        <v/>
      </c>
      <c r="O129" s="6">
        <f>IF(N129="","",MAX(Settings!$B$7,N$2:N129))</f>
        <v/>
      </c>
      <c r="P129" s="6">
        <f>IF(N129="","",N129-O129)</f>
        <v/>
      </c>
      <c r="Q129" s="2">
        <f>IF(L129="","",IF(L129&gt;0,"Win",IF(L129&lt;0,"Loss","Flat")))</f>
        <v/>
      </c>
      <c r="R129" s="2" t="n"/>
    </row>
    <row r="130">
      <c r="A130" s="2">
        <f>IF(C130&lt;&gt;"",A129+1,"")</f>
        <v/>
      </c>
      <c r="B130" s="2" t="n"/>
      <c r="C130" s="2" t="n"/>
      <c r="D130" s="2" t="n"/>
      <c r="E130" s="2" t="n"/>
      <c r="F130" s="2" t="n"/>
      <c r="G130" s="6" t="n"/>
      <c r="H130" s="6" t="n"/>
      <c r="I130" s="2">
        <f>IF(OR(E130="",G130="",H130=""),"",IF(E130="Short",G130-H130,H130-G130))</f>
        <v/>
      </c>
      <c r="J130" s="6">
        <f>IF(I130="","",I130*F130*Settings!$B$3)</f>
        <v/>
      </c>
      <c r="K130" s="6" t="n"/>
      <c r="L130" s="6">
        <f>IF(J130="","",J130-K130)</f>
        <v/>
      </c>
      <c r="M130" s="6">
        <f>IF(C130="","",N129)</f>
        <v/>
      </c>
      <c r="N130" s="6">
        <f>IF(L130="","",M130+L130)</f>
        <v/>
      </c>
      <c r="O130" s="6">
        <f>IF(N130="","",MAX(Settings!$B$7,N$2:N130))</f>
        <v/>
      </c>
      <c r="P130" s="6">
        <f>IF(N130="","",N130-O130)</f>
        <v/>
      </c>
      <c r="Q130" s="2">
        <f>IF(L130="","",IF(L130&gt;0,"Win",IF(L130&lt;0,"Loss","Flat")))</f>
        <v/>
      </c>
      <c r="R130" s="2" t="n"/>
    </row>
    <row r="131">
      <c r="A131" s="2">
        <f>IF(C131&lt;&gt;"",A130+1,"")</f>
        <v/>
      </c>
      <c r="B131" s="2" t="n"/>
      <c r="C131" s="2" t="n"/>
      <c r="D131" s="2" t="n"/>
      <c r="E131" s="2" t="n"/>
      <c r="F131" s="2" t="n"/>
      <c r="G131" s="6" t="n"/>
      <c r="H131" s="6" t="n"/>
      <c r="I131" s="2">
        <f>IF(OR(E131="",G131="",H131=""),"",IF(E131="Short",G131-H131,H131-G131))</f>
        <v/>
      </c>
      <c r="J131" s="6">
        <f>IF(I131="","",I131*F131*Settings!$B$3)</f>
        <v/>
      </c>
      <c r="K131" s="6" t="n"/>
      <c r="L131" s="6">
        <f>IF(J131="","",J131-K131)</f>
        <v/>
      </c>
      <c r="M131" s="6">
        <f>IF(C131="","",N130)</f>
        <v/>
      </c>
      <c r="N131" s="6">
        <f>IF(L131="","",M131+L131)</f>
        <v/>
      </c>
      <c r="O131" s="6">
        <f>IF(N131="","",MAX(Settings!$B$7,N$2:N131))</f>
        <v/>
      </c>
      <c r="P131" s="6">
        <f>IF(N131="","",N131-O131)</f>
        <v/>
      </c>
      <c r="Q131" s="2">
        <f>IF(L131="","",IF(L131&gt;0,"Win",IF(L131&lt;0,"Loss","Flat")))</f>
        <v/>
      </c>
      <c r="R131" s="2" t="n"/>
    </row>
    <row r="132">
      <c r="A132" s="2">
        <f>IF(C132&lt;&gt;"",A131+1,"")</f>
        <v/>
      </c>
      <c r="B132" s="2" t="n"/>
      <c r="C132" s="2" t="n"/>
      <c r="D132" s="2" t="n"/>
      <c r="E132" s="2" t="n"/>
      <c r="F132" s="2" t="n"/>
      <c r="G132" s="6" t="n"/>
      <c r="H132" s="6" t="n"/>
      <c r="I132" s="2">
        <f>IF(OR(E132="",G132="",H132=""),"",IF(E132="Short",G132-H132,H132-G132))</f>
        <v/>
      </c>
      <c r="J132" s="6">
        <f>IF(I132="","",I132*F132*Settings!$B$3)</f>
        <v/>
      </c>
      <c r="K132" s="6" t="n"/>
      <c r="L132" s="6">
        <f>IF(J132="","",J132-K132)</f>
        <v/>
      </c>
      <c r="M132" s="6">
        <f>IF(C132="","",N131)</f>
        <v/>
      </c>
      <c r="N132" s="6">
        <f>IF(L132="","",M132+L132)</f>
        <v/>
      </c>
      <c r="O132" s="6">
        <f>IF(N132="","",MAX(Settings!$B$7,N$2:N132))</f>
        <v/>
      </c>
      <c r="P132" s="6">
        <f>IF(N132="","",N132-O132)</f>
        <v/>
      </c>
      <c r="Q132" s="2">
        <f>IF(L132="","",IF(L132&gt;0,"Win",IF(L132&lt;0,"Loss","Flat")))</f>
        <v/>
      </c>
      <c r="R132" s="2" t="n"/>
    </row>
    <row r="133">
      <c r="A133" s="2">
        <f>IF(C133&lt;&gt;"",A132+1,"")</f>
        <v/>
      </c>
      <c r="B133" s="2" t="n"/>
      <c r="C133" s="2" t="n"/>
      <c r="D133" s="2" t="n"/>
      <c r="E133" s="2" t="n"/>
      <c r="F133" s="2" t="n"/>
      <c r="G133" s="6" t="n"/>
      <c r="H133" s="6" t="n"/>
      <c r="I133" s="2">
        <f>IF(OR(E133="",G133="",H133=""),"",IF(E133="Short",G133-H133,H133-G133))</f>
        <v/>
      </c>
      <c r="J133" s="6">
        <f>IF(I133="","",I133*F133*Settings!$B$3)</f>
        <v/>
      </c>
      <c r="K133" s="6" t="n"/>
      <c r="L133" s="6">
        <f>IF(J133="","",J133-K133)</f>
        <v/>
      </c>
      <c r="M133" s="6">
        <f>IF(C133="","",N132)</f>
        <v/>
      </c>
      <c r="N133" s="6">
        <f>IF(L133="","",M133+L133)</f>
        <v/>
      </c>
      <c r="O133" s="6">
        <f>IF(N133="","",MAX(Settings!$B$7,N$2:N133))</f>
        <v/>
      </c>
      <c r="P133" s="6">
        <f>IF(N133="","",N133-O133)</f>
        <v/>
      </c>
      <c r="Q133" s="2">
        <f>IF(L133="","",IF(L133&gt;0,"Win",IF(L133&lt;0,"Loss","Flat")))</f>
        <v/>
      </c>
      <c r="R133" s="2" t="n"/>
    </row>
    <row r="134">
      <c r="A134" s="2">
        <f>IF(C134&lt;&gt;"",A133+1,"")</f>
        <v/>
      </c>
      <c r="B134" s="2" t="n"/>
      <c r="C134" s="2" t="n"/>
      <c r="D134" s="2" t="n"/>
      <c r="E134" s="2" t="n"/>
      <c r="F134" s="2" t="n"/>
      <c r="G134" s="6" t="n"/>
      <c r="H134" s="6" t="n"/>
      <c r="I134" s="2">
        <f>IF(OR(E134="",G134="",H134=""),"",IF(E134="Short",G134-H134,H134-G134))</f>
        <v/>
      </c>
      <c r="J134" s="6">
        <f>IF(I134="","",I134*F134*Settings!$B$3)</f>
        <v/>
      </c>
      <c r="K134" s="6" t="n"/>
      <c r="L134" s="6">
        <f>IF(J134="","",J134-K134)</f>
        <v/>
      </c>
      <c r="M134" s="6">
        <f>IF(C134="","",N133)</f>
        <v/>
      </c>
      <c r="N134" s="6">
        <f>IF(L134="","",M134+L134)</f>
        <v/>
      </c>
      <c r="O134" s="6">
        <f>IF(N134="","",MAX(Settings!$B$7,N$2:N134))</f>
        <v/>
      </c>
      <c r="P134" s="6">
        <f>IF(N134="","",N134-O134)</f>
        <v/>
      </c>
      <c r="Q134" s="2">
        <f>IF(L134="","",IF(L134&gt;0,"Win",IF(L134&lt;0,"Loss","Flat")))</f>
        <v/>
      </c>
      <c r="R134" s="2" t="n"/>
    </row>
    <row r="135">
      <c r="A135" s="2">
        <f>IF(C135&lt;&gt;"",A134+1,"")</f>
        <v/>
      </c>
      <c r="B135" s="2" t="n"/>
      <c r="C135" s="2" t="n"/>
      <c r="D135" s="2" t="n"/>
      <c r="E135" s="2" t="n"/>
      <c r="F135" s="2" t="n"/>
      <c r="G135" s="6" t="n"/>
      <c r="H135" s="6" t="n"/>
      <c r="I135" s="2">
        <f>IF(OR(E135="",G135="",H135=""),"",IF(E135="Short",G135-H135,H135-G135))</f>
        <v/>
      </c>
      <c r="J135" s="6">
        <f>IF(I135="","",I135*F135*Settings!$B$3)</f>
        <v/>
      </c>
      <c r="K135" s="6" t="n"/>
      <c r="L135" s="6">
        <f>IF(J135="","",J135-K135)</f>
        <v/>
      </c>
      <c r="M135" s="6">
        <f>IF(C135="","",N134)</f>
        <v/>
      </c>
      <c r="N135" s="6">
        <f>IF(L135="","",M135+L135)</f>
        <v/>
      </c>
      <c r="O135" s="6">
        <f>IF(N135="","",MAX(Settings!$B$7,N$2:N135))</f>
        <v/>
      </c>
      <c r="P135" s="6">
        <f>IF(N135="","",N135-O135)</f>
        <v/>
      </c>
      <c r="Q135" s="2">
        <f>IF(L135="","",IF(L135&gt;0,"Win",IF(L135&lt;0,"Loss","Flat")))</f>
        <v/>
      </c>
      <c r="R135" s="2" t="n"/>
    </row>
    <row r="136">
      <c r="A136" s="2">
        <f>IF(C136&lt;&gt;"",A135+1,"")</f>
        <v/>
      </c>
      <c r="B136" s="2" t="n"/>
      <c r="C136" s="2" t="n"/>
      <c r="D136" s="2" t="n"/>
      <c r="E136" s="2" t="n"/>
      <c r="F136" s="2" t="n"/>
      <c r="G136" s="6" t="n"/>
      <c r="H136" s="6" t="n"/>
      <c r="I136" s="2">
        <f>IF(OR(E136="",G136="",H136=""),"",IF(E136="Short",G136-H136,H136-G136))</f>
        <v/>
      </c>
      <c r="J136" s="6">
        <f>IF(I136="","",I136*F136*Settings!$B$3)</f>
        <v/>
      </c>
      <c r="K136" s="6" t="n"/>
      <c r="L136" s="6">
        <f>IF(J136="","",J136-K136)</f>
        <v/>
      </c>
      <c r="M136" s="6">
        <f>IF(C136="","",N135)</f>
        <v/>
      </c>
      <c r="N136" s="6">
        <f>IF(L136="","",M136+L136)</f>
        <v/>
      </c>
      <c r="O136" s="6">
        <f>IF(N136="","",MAX(Settings!$B$7,N$2:N136))</f>
        <v/>
      </c>
      <c r="P136" s="6">
        <f>IF(N136="","",N136-O136)</f>
        <v/>
      </c>
      <c r="Q136" s="2">
        <f>IF(L136="","",IF(L136&gt;0,"Win",IF(L136&lt;0,"Loss","Flat")))</f>
        <v/>
      </c>
      <c r="R136" s="2" t="n"/>
    </row>
    <row r="137">
      <c r="A137" s="2">
        <f>IF(C137&lt;&gt;"",A136+1,"")</f>
        <v/>
      </c>
      <c r="B137" s="2" t="n"/>
      <c r="C137" s="2" t="n"/>
      <c r="D137" s="2" t="n"/>
      <c r="E137" s="2" t="n"/>
      <c r="F137" s="2" t="n"/>
      <c r="G137" s="6" t="n"/>
      <c r="H137" s="6" t="n"/>
      <c r="I137" s="2">
        <f>IF(OR(E137="",G137="",H137=""),"",IF(E137="Short",G137-H137,H137-G137))</f>
        <v/>
      </c>
      <c r="J137" s="6">
        <f>IF(I137="","",I137*F137*Settings!$B$3)</f>
        <v/>
      </c>
      <c r="K137" s="6" t="n"/>
      <c r="L137" s="6">
        <f>IF(J137="","",J137-K137)</f>
        <v/>
      </c>
      <c r="M137" s="6">
        <f>IF(C137="","",N136)</f>
        <v/>
      </c>
      <c r="N137" s="6">
        <f>IF(L137="","",M137+L137)</f>
        <v/>
      </c>
      <c r="O137" s="6">
        <f>IF(N137="","",MAX(Settings!$B$7,N$2:N137))</f>
        <v/>
      </c>
      <c r="P137" s="6">
        <f>IF(N137="","",N137-O137)</f>
        <v/>
      </c>
      <c r="Q137" s="2">
        <f>IF(L137="","",IF(L137&gt;0,"Win",IF(L137&lt;0,"Loss","Flat")))</f>
        <v/>
      </c>
      <c r="R137" s="2" t="n"/>
    </row>
    <row r="138">
      <c r="A138" s="2">
        <f>IF(C138&lt;&gt;"",A137+1,"")</f>
        <v/>
      </c>
      <c r="B138" s="2" t="n"/>
      <c r="C138" s="2" t="n"/>
      <c r="D138" s="2" t="n"/>
      <c r="E138" s="2" t="n"/>
      <c r="F138" s="2" t="n"/>
      <c r="G138" s="6" t="n"/>
      <c r="H138" s="6" t="n"/>
      <c r="I138" s="2">
        <f>IF(OR(E138="",G138="",H138=""),"",IF(E138="Short",G138-H138,H138-G138))</f>
        <v/>
      </c>
      <c r="J138" s="6">
        <f>IF(I138="","",I138*F138*Settings!$B$3)</f>
        <v/>
      </c>
      <c r="K138" s="6" t="n"/>
      <c r="L138" s="6">
        <f>IF(J138="","",J138-K138)</f>
        <v/>
      </c>
      <c r="M138" s="6">
        <f>IF(C138="","",N137)</f>
        <v/>
      </c>
      <c r="N138" s="6">
        <f>IF(L138="","",M138+L138)</f>
        <v/>
      </c>
      <c r="O138" s="6">
        <f>IF(N138="","",MAX(Settings!$B$7,N$2:N138))</f>
        <v/>
      </c>
      <c r="P138" s="6">
        <f>IF(N138="","",N138-O138)</f>
        <v/>
      </c>
      <c r="Q138" s="2">
        <f>IF(L138="","",IF(L138&gt;0,"Win",IF(L138&lt;0,"Loss","Flat")))</f>
        <v/>
      </c>
      <c r="R138" s="2" t="n"/>
    </row>
    <row r="139">
      <c r="A139" s="2">
        <f>IF(C139&lt;&gt;"",A138+1,"")</f>
        <v/>
      </c>
      <c r="B139" s="2" t="n"/>
      <c r="C139" s="2" t="n"/>
      <c r="D139" s="2" t="n"/>
      <c r="E139" s="2" t="n"/>
      <c r="F139" s="2" t="n"/>
      <c r="G139" s="6" t="n"/>
      <c r="H139" s="6" t="n"/>
      <c r="I139" s="2">
        <f>IF(OR(E139="",G139="",H139=""),"",IF(E139="Short",G139-H139,H139-G139))</f>
        <v/>
      </c>
      <c r="J139" s="6">
        <f>IF(I139="","",I139*F139*Settings!$B$3)</f>
        <v/>
      </c>
      <c r="K139" s="6" t="n"/>
      <c r="L139" s="6">
        <f>IF(J139="","",J139-K139)</f>
        <v/>
      </c>
      <c r="M139" s="6">
        <f>IF(C139="","",N138)</f>
        <v/>
      </c>
      <c r="N139" s="6">
        <f>IF(L139="","",M139+L139)</f>
        <v/>
      </c>
      <c r="O139" s="6">
        <f>IF(N139="","",MAX(Settings!$B$7,N$2:N139))</f>
        <v/>
      </c>
      <c r="P139" s="6">
        <f>IF(N139="","",N139-O139)</f>
        <v/>
      </c>
      <c r="Q139" s="2">
        <f>IF(L139="","",IF(L139&gt;0,"Win",IF(L139&lt;0,"Loss","Flat")))</f>
        <v/>
      </c>
      <c r="R139" s="2" t="n"/>
    </row>
    <row r="140">
      <c r="A140" s="2">
        <f>IF(C140&lt;&gt;"",A139+1,"")</f>
        <v/>
      </c>
      <c r="B140" s="2" t="n"/>
      <c r="C140" s="2" t="n"/>
      <c r="D140" s="2" t="n"/>
      <c r="E140" s="2" t="n"/>
      <c r="F140" s="2" t="n"/>
      <c r="G140" s="6" t="n"/>
      <c r="H140" s="6" t="n"/>
      <c r="I140" s="2">
        <f>IF(OR(E140="",G140="",H140=""),"",IF(E140="Short",G140-H140,H140-G140))</f>
        <v/>
      </c>
      <c r="J140" s="6">
        <f>IF(I140="","",I140*F140*Settings!$B$3)</f>
        <v/>
      </c>
      <c r="K140" s="6" t="n"/>
      <c r="L140" s="6">
        <f>IF(J140="","",J140-K140)</f>
        <v/>
      </c>
      <c r="M140" s="6">
        <f>IF(C140="","",N139)</f>
        <v/>
      </c>
      <c r="N140" s="6">
        <f>IF(L140="","",M140+L140)</f>
        <v/>
      </c>
      <c r="O140" s="6">
        <f>IF(N140="","",MAX(Settings!$B$7,N$2:N140))</f>
        <v/>
      </c>
      <c r="P140" s="6">
        <f>IF(N140="","",N140-O140)</f>
        <v/>
      </c>
      <c r="Q140" s="2">
        <f>IF(L140="","",IF(L140&gt;0,"Win",IF(L140&lt;0,"Loss","Flat")))</f>
        <v/>
      </c>
      <c r="R140" s="2" t="n"/>
    </row>
    <row r="141">
      <c r="A141" s="2">
        <f>IF(C141&lt;&gt;"",A140+1,"")</f>
        <v/>
      </c>
      <c r="B141" s="2" t="n"/>
      <c r="C141" s="2" t="n"/>
      <c r="D141" s="2" t="n"/>
      <c r="E141" s="2" t="n"/>
      <c r="F141" s="2" t="n"/>
      <c r="G141" s="6" t="n"/>
      <c r="H141" s="6" t="n"/>
      <c r="I141" s="2">
        <f>IF(OR(E141="",G141="",H141=""),"",IF(E141="Short",G141-H141,H141-G141))</f>
        <v/>
      </c>
      <c r="J141" s="6">
        <f>IF(I141="","",I141*F141*Settings!$B$3)</f>
        <v/>
      </c>
      <c r="K141" s="6" t="n"/>
      <c r="L141" s="6">
        <f>IF(J141="","",J141-K141)</f>
        <v/>
      </c>
      <c r="M141" s="6">
        <f>IF(C141="","",N140)</f>
        <v/>
      </c>
      <c r="N141" s="6">
        <f>IF(L141="","",M141+L141)</f>
        <v/>
      </c>
      <c r="O141" s="6">
        <f>IF(N141="","",MAX(Settings!$B$7,N$2:N141))</f>
        <v/>
      </c>
      <c r="P141" s="6">
        <f>IF(N141="","",N141-O141)</f>
        <v/>
      </c>
      <c r="Q141" s="2">
        <f>IF(L141="","",IF(L141&gt;0,"Win",IF(L141&lt;0,"Loss","Flat")))</f>
        <v/>
      </c>
      <c r="R141" s="2" t="n"/>
    </row>
    <row r="142">
      <c r="A142" s="2">
        <f>IF(C142&lt;&gt;"",A141+1,"")</f>
        <v/>
      </c>
      <c r="B142" s="2" t="n"/>
      <c r="C142" s="2" t="n"/>
      <c r="D142" s="2" t="n"/>
      <c r="E142" s="2" t="n"/>
      <c r="F142" s="2" t="n"/>
      <c r="G142" s="6" t="n"/>
      <c r="H142" s="6" t="n"/>
      <c r="I142" s="2">
        <f>IF(OR(E142="",G142="",H142=""),"",IF(E142="Short",G142-H142,H142-G142))</f>
        <v/>
      </c>
      <c r="J142" s="6">
        <f>IF(I142="","",I142*F142*Settings!$B$3)</f>
        <v/>
      </c>
      <c r="K142" s="6" t="n"/>
      <c r="L142" s="6">
        <f>IF(J142="","",J142-K142)</f>
        <v/>
      </c>
      <c r="M142" s="6">
        <f>IF(C142="","",N141)</f>
        <v/>
      </c>
      <c r="N142" s="6">
        <f>IF(L142="","",M142+L142)</f>
        <v/>
      </c>
      <c r="O142" s="6">
        <f>IF(N142="","",MAX(Settings!$B$7,N$2:N142))</f>
        <v/>
      </c>
      <c r="P142" s="6">
        <f>IF(N142="","",N142-O142)</f>
        <v/>
      </c>
      <c r="Q142" s="2">
        <f>IF(L142="","",IF(L142&gt;0,"Win",IF(L142&lt;0,"Loss","Flat")))</f>
        <v/>
      </c>
      <c r="R142" s="2" t="n"/>
    </row>
    <row r="143">
      <c r="A143" s="2">
        <f>IF(C143&lt;&gt;"",A142+1,"")</f>
        <v/>
      </c>
      <c r="B143" s="2" t="n"/>
      <c r="C143" s="2" t="n"/>
      <c r="D143" s="2" t="n"/>
      <c r="E143" s="2" t="n"/>
      <c r="F143" s="2" t="n"/>
      <c r="G143" s="6" t="n"/>
      <c r="H143" s="6" t="n"/>
      <c r="I143" s="2">
        <f>IF(OR(E143="",G143="",H143=""),"",IF(E143="Short",G143-H143,H143-G143))</f>
        <v/>
      </c>
      <c r="J143" s="6">
        <f>IF(I143="","",I143*F143*Settings!$B$3)</f>
        <v/>
      </c>
      <c r="K143" s="6" t="n"/>
      <c r="L143" s="6">
        <f>IF(J143="","",J143-K143)</f>
        <v/>
      </c>
      <c r="M143" s="6">
        <f>IF(C143="","",N142)</f>
        <v/>
      </c>
      <c r="N143" s="6">
        <f>IF(L143="","",M143+L143)</f>
        <v/>
      </c>
      <c r="O143" s="6">
        <f>IF(N143="","",MAX(Settings!$B$7,N$2:N143))</f>
        <v/>
      </c>
      <c r="P143" s="6">
        <f>IF(N143="","",N143-O143)</f>
        <v/>
      </c>
      <c r="Q143" s="2">
        <f>IF(L143="","",IF(L143&gt;0,"Win",IF(L143&lt;0,"Loss","Flat")))</f>
        <v/>
      </c>
      <c r="R143" s="2" t="n"/>
    </row>
    <row r="144">
      <c r="A144" s="2">
        <f>IF(C144&lt;&gt;"",A143+1,"")</f>
        <v/>
      </c>
      <c r="B144" s="2" t="n"/>
      <c r="C144" s="2" t="n"/>
      <c r="D144" s="2" t="n"/>
      <c r="E144" s="2" t="n"/>
      <c r="F144" s="2" t="n"/>
      <c r="G144" s="6" t="n"/>
      <c r="H144" s="6" t="n"/>
      <c r="I144" s="2">
        <f>IF(OR(E144="",G144="",H144=""),"",IF(E144="Short",G144-H144,H144-G144))</f>
        <v/>
      </c>
      <c r="J144" s="6">
        <f>IF(I144="","",I144*F144*Settings!$B$3)</f>
        <v/>
      </c>
      <c r="K144" s="6" t="n"/>
      <c r="L144" s="6">
        <f>IF(J144="","",J144-K144)</f>
        <v/>
      </c>
      <c r="M144" s="6">
        <f>IF(C144="","",N143)</f>
        <v/>
      </c>
      <c r="N144" s="6">
        <f>IF(L144="","",M144+L144)</f>
        <v/>
      </c>
      <c r="O144" s="6">
        <f>IF(N144="","",MAX(Settings!$B$7,N$2:N144))</f>
        <v/>
      </c>
      <c r="P144" s="6">
        <f>IF(N144="","",N144-O144)</f>
        <v/>
      </c>
      <c r="Q144" s="2">
        <f>IF(L144="","",IF(L144&gt;0,"Win",IF(L144&lt;0,"Loss","Flat")))</f>
        <v/>
      </c>
      <c r="R144" s="2" t="n"/>
    </row>
    <row r="145">
      <c r="A145" s="2">
        <f>IF(C145&lt;&gt;"",A144+1,"")</f>
        <v/>
      </c>
      <c r="B145" s="2" t="n"/>
      <c r="C145" s="2" t="n"/>
      <c r="D145" s="2" t="n"/>
      <c r="E145" s="2" t="n"/>
      <c r="F145" s="2" t="n"/>
      <c r="G145" s="6" t="n"/>
      <c r="H145" s="6" t="n"/>
      <c r="I145" s="2">
        <f>IF(OR(E145="",G145="",H145=""),"",IF(E145="Short",G145-H145,H145-G145))</f>
        <v/>
      </c>
      <c r="J145" s="6">
        <f>IF(I145="","",I145*F145*Settings!$B$3)</f>
        <v/>
      </c>
      <c r="K145" s="6" t="n"/>
      <c r="L145" s="6">
        <f>IF(J145="","",J145-K145)</f>
        <v/>
      </c>
      <c r="M145" s="6">
        <f>IF(C145="","",N144)</f>
        <v/>
      </c>
      <c r="N145" s="6">
        <f>IF(L145="","",M145+L145)</f>
        <v/>
      </c>
      <c r="O145" s="6">
        <f>IF(N145="","",MAX(Settings!$B$7,N$2:N145))</f>
        <v/>
      </c>
      <c r="P145" s="6">
        <f>IF(N145="","",N145-O145)</f>
        <v/>
      </c>
      <c r="Q145" s="2">
        <f>IF(L145="","",IF(L145&gt;0,"Win",IF(L145&lt;0,"Loss","Flat")))</f>
        <v/>
      </c>
      <c r="R145" s="2" t="n"/>
    </row>
    <row r="146">
      <c r="A146" s="2">
        <f>IF(C146&lt;&gt;"",A145+1,"")</f>
        <v/>
      </c>
      <c r="B146" s="2" t="n"/>
      <c r="C146" s="2" t="n"/>
      <c r="D146" s="2" t="n"/>
      <c r="E146" s="2" t="n"/>
      <c r="F146" s="2" t="n"/>
      <c r="G146" s="6" t="n"/>
      <c r="H146" s="6" t="n"/>
      <c r="I146" s="2">
        <f>IF(OR(E146="",G146="",H146=""),"",IF(E146="Short",G146-H146,H146-G146))</f>
        <v/>
      </c>
      <c r="J146" s="6">
        <f>IF(I146="","",I146*F146*Settings!$B$3)</f>
        <v/>
      </c>
      <c r="K146" s="6" t="n"/>
      <c r="L146" s="6">
        <f>IF(J146="","",J146-K146)</f>
        <v/>
      </c>
      <c r="M146" s="6">
        <f>IF(C146="","",N145)</f>
        <v/>
      </c>
      <c r="N146" s="6">
        <f>IF(L146="","",M146+L146)</f>
        <v/>
      </c>
      <c r="O146" s="6">
        <f>IF(N146="","",MAX(Settings!$B$7,N$2:N146))</f>
        <v/>
      </c>
      <c r="P146" s="6">
        <f>IF(N146="","",N146-O146)</f>
        <v/>
      </c>
      <c r="Q146" s="2">
        <f>IF(L146="","",IF(L146&gt;0,"Win",IF(L146&lt;0,"Loss","Flat")))</f>
        <v/>
      </c>
      <c r="R146" s="2" t="n"/>
    </row>
    <row r="147">
      <c r="A147" s="2">
        <f>IF(C147&lt;&gt;"",A146+1,"")</f>
        <v/>
      </c>
      <c r="B147" s="2" t="n"/>
      <c r="C147" s="2" t="n"/>
      <c r="D147" s="2" t="n"/>
      <c r="E147" s="2" t="n"/>
      <c r="F147" s="2" t="n"/>
      <c r="G147" s="6" t="n"/>
      <c r="H147" s="6" t="n"/>
      <c r="I147" s="2">
        <f>IF(OR(E147="",G147="",H147=""),"",IF(E147="Short",G147-H147,H147-G147))</f>
        <v/>
      </c>
      <c r="J147" s="6">
        <f>IF(I147="","",I147*F147*Settings!$B$3)</f>
        <v/>
      </c>
      <c r="K147" s="6" t="n"/>
      <c r="L147" s="6">
        <f>IF(J147="","",J147-K147)</f>
        <v/>
      </c>
      <c r="M147" s="6">
        <f>IF(C147="","",N146)</f>
        <v/>
      </c>
      <c r="N147" s="6">
        <f>IF(L147="","",M147+L147)</f>
        <v/>
      </c>
      <c r="O147" s="6">
        <f>IF(N147="","",MAX(Settings!$B$7,N$2:N147))</f>
        <v/>
      </c>
      <c r="P147" s="6">
        <f>IF(N147="","",N147-O147)</f>
        <v/>
      </c>
      <c r="Q147" s="2">
        <f>IF(L147="","",IF(L147&gt;0,"Win",IF(L147&lt;0,"Loss","Flat")))</f>
        <v/>
      </c>
      <c r="R147" s="2" t="n"/>
    </row>
    <row r="148">
      <c r="A148" s="2">
        <f>IF(C148&lt;&gt;"",A147+1,"")</f>
        <v/>
      </c>
      <c r="B148" s="2" t="n"/>
      <c r="C148" s="2" t="n"/>
      <c r="D148" s="2" t="n"/>
      <c r="E148" s="2" t="n"/>
      <c r="F148" s="2" t="n"/>
      <c r="G148" s="6" t="n"/>
      <c r="H148" s="6" t="n"/>
      <c r="I148" s="2">
        <f>IF(OR(E148="",G148="",H148=""),"",IF(E148="Short",G148-H148,H148-G148))</f>
        <v/>
      </c>
      <c r="J148" s="6">
        <f>IF(I148="","",I148*F148*Settings!$B$3)</f>
        <v/>
      </c>
      <c r="K148" s="6" t="n"/>
      <c r="L148" s="6">
        <f>IF(J148="","",J148-K148)</f>
        <v/>
      </c>
      <c r="M148" s="6">
        <f>IF(C148="","",N147)</f>
        <v/>
      </c>
      <c r="N148" s="6">
        <f>IF(L148="","",M148+L148)</f>
        <v/>
      </c>
      <c r="O148" s="6">
        <f>IF(N148="","",MAX(Settings!$B$7,N$2:N148))</f>
        <v/>
      </c>
      <c r="P148" s="6">
        <f>IF(N148="","",N148-O148)</f>
        <v/>
      </c>
      <c r="Q148" s="2">
        <f>IF(L148="","",IF(L148&gt;0,"Win",IF(L148&lt;0,"Loss","Flat")))</f>
        <v/>
      </c>
      <c r="R148" s="2" t="n"/>
    </row>
    <row r="149">
      <c r="A149" s="2">
        <f>IF(C149&lt;&gt;"",A148+1,"")</f>
        <v/>
      </c>
      <c r="B149" s="2" t="n"/>
      <c r="C149" s="2" t="n"/>
      <c r="D149" s="2" t="n"/>
      <c r="E149" s="2" t="n"/>
      <c r="F149" s="2" t="n"/>
      <c r="G149" s="6" t="n"/>
      <c r="H149" s="6" t="n"/>
      <c r="I149" s="2">
        <f>IF(OR(E149="",G149="",H149=""),"",IF(E149="Short",G149-H149,H149-G149))</f>
        <v/>
      </c>
      <c r="J149" s="6">
        <f>IF(I149="","",I149*F149*Settings!$B$3)</f>
        <v/>
      </c>
      <c r="K149" s="6" t="n"/>
      <c r="L149" s="6">
        <f>IF(J149="","",J149-K149)</f>
        <v/>
      </c>
      <c r="M149" s="6">
        <f>IF(C149="","",N148)</f>
        <v/>
      </c>
      <c r="N149" s="6">
        <f>IF(L149="","",M149+L149)</f>
        <v/>
      </c>
      <c r="O149" s="6">
        <f>IF(N149="","",MAX(Settings!$B$7,N$2:N149))</f>
        <v/>
      </c>
      <c r="P149" s="6">
        <f>IF(N149="","",N149-O149)</f>
        <v/>
      </c>
      <c r="Q149" s="2">
        <f>IF(L149="","",IF(L149&gt;0,"Win",IF(L149&lt;0,"Loss","Flat")))</f>
        <v/>
      </c>
      <c r="R149" s="2" t="n"/>
    </row>
    <row r="150">
      <c r="A150" s="2">
        <f>IF(C150&lt;&gt;"",A149+1,"")</f>
        <v/>
      </c>
      <c r="B150" s="2" t="n"/>
      <c r="C150" s="2" t="n"/>
      <c r="D150" s="2" t="n"/>
      <c r="E150" s="2" t="n"/>
      <c r="F150" s="2" t="n"/>
      <c r="G150" s="6" t="n"/>
      <c r="H150" s="6" t="n"/>
      <c r="I150" s="2">
        <f>IF(OR(E150="",G150="",H150=""),"",IF(E150="Short",G150-H150,H150-G150))</f>
        <v/>
      </c>
      <c r="J150" s="6">
        <f>IF(I150="","",I150*F150*Settings!$B$3)</f>
        <v/>
      </c>
      <c r="K150" s="6" t="n"/>
      <c r="L150" s="6">
        <f>IF(J150="","",J150-K150)</f>
        <v/>
      </c>
      <c r="M150" s="6">
        <f>IF(C150="","",N149)</f>
        <v/>
      </c>
      <c r="N150" s="6">
        <f>IF(L150="","",M150+L150)</f>
        <v/>
      </c>
      <c r="O150" s="6">
        <f>IF(N150="","",MAX(Settings!$B$7,N$2:N150))</f>
        <v/>
      </c>
      <c r="P150" s="6">
        <f>IF(N150="","",N150-O150)</f>
        <v/>
      </c>
      <c r="Q150" s="2">
        <f>IF(L150="","",IF(L150&gt;0,"Win",IF(L150&lt;0,"Loss","Flat")))</f>
        <v/>
      </c>
      <c r="R150" s="2" t="n"/>
    </row>
    <row r="151">
      <c r="A151" s="2">
        <f>IF(C151&lt;&gt;"",A150+1,"")</f>
        <v/>
      </c>
      <c r="B151" s="2" t="n"/>
      <c r="C151" s="2" t="n"/>
      <c r="D151" s="2" t="n"/>
      <c r="E151" s="2" t="n"/>
      <c r="F151" s="2" t="n"/>
      <c r="G151" s="6" t="n"/>
      <c r="H151" s="6" t="n"/>
      <c r="I151" s="2">
        <f>IF(OR(E151="",G151="",H151=""),"",IF(E151="Short",G151-H151,H151-G151))</f>
        <v/>
      </c>
      <c r="J151" s="6">
        <f>IF(I151="","",I151*F151*Settings!$B$3)</f>
        <v/>
      </c>
      <c r="K151" s="6" t="n"/>
      <c r="L151" s="6">
        <f>IF(J151="","",J151-K151)</f>
        <v/>
      </c>
      <c r="M151" s="6">
        <f>IF(C151="","",N150)</f>
        <v/>
      </c>
      <c r="N151" s="6">
        <f>IF(L151="","",M151+L151)</f>
        <v/>
      </c>
      <c r="O151" s="6">
        <f>IF(N151="","",MAX(Settings!$B$7,N$2:N151))</f>
        <v/>
      </c>
      <c r="P151" s="6">
        <f>IF(N151="","",N151-O151)</f>
        <v/>
      </c>
      <c r="Q151" s="2">
        <f>IF(L151="","",IF(L151&gt;0,"Win",IF(L151&lt;0,"Loss","Flat")))</f>
        <v/>
      </c>
      <c r="R151" s="2" t="n"/>
    </row>
    <row r="152">
      <c r="A152" s="2">
        <f>IF(C152&lt;&gt;"",A151+1,"")</f>
        <v/>
      </c>
      <c r="B152" s="2" t="n"/>
      <c r="C152" s="2" t="n"/>
      <c r="D152" s="2" t="n"/>
      <c r="E152" s="2" t="n"/>
      <c r="F152" s="2" t="n"/>
      <c r="G152" s="6" t="n"/>
      <c r="H152" s="6" t="n"/>
      <c r="I152" s="2">
        <f>IF(OR(E152="",G152="",H152=""),"",IF(E152="Short",G152-H152,H152-G152))</f>
        <v/>
      </c>
      <c r="J152" s="6">
        <f>IF(I152="","",I152*F152*Settings!$B$3)</f>
        <v/>
      </c>
      <c r="K152" s="6" t="n"/>
      <c r="L152" s="6">
        <f>IF(J152="","",J152-K152)</f>
        <v/>
      </c>
      <c r="M152" s="6">
        <f>IF(C152="","",N151)</f>
        <v/>
      </c>
      <c r="N152" s="6">
        <f>IF(L152="","",M152+L152)</f>
        <v/>
      </c>
      <c r="O152" s="6">
        <f>IF(N152="","",MAX(Settings!$B$7,N$2:N152))</f>
        <v/>
      </c>
      <c r="P152" s="6">
        <f>IF(N152="","",N152-O152)</f>
        <v/>
      </c>
      <c r="Q152" s="2">
        <f>IF(L152="","",IF(L152&gt;0,"Win",IF(L152&lt;0,"Loss","Flat")))</f>
        <v/>
      </c>
      <c r="R152" s="2" t="n"/>
    </row>
    <row r="153">
      <c r="A153" s="2">
        <f>IF(C153&lt;&gt;"",A152+1,"")</f>
        <v/>
      </c>
      <c r="B153" s="2" t="n"/>
      <c r="C153" s="2" t="n"/>
      <c r="D153" s="2" t="n"/>
      <c r="E153" s="2" t="n"/>
      <c r="F153" s="2" t="n"/>
      <c r="G153" s="6" t="n"/>
      <c r="H153" s="6" t="n"/>
      <c r="I153" s="2">
        <f>IF(OR(E153="",G153="",H153=""),"",IF(E153="Short",G153-H153,H153-G153))</f>
        <v/>
      </c>
      <c r="J153" s="6">
        <f>IF(I153="","",I153*F153*Settings!$B$3)</f>
        <v/>
      </c>
      <c r="K153" s="6" t="n"/>
      <c r="L153" s="6">
        <f>IF(J153="","",J153-K153)</f>
        <v/>
      </c>
      <c r="M153" s="6">
        <f>IF(C153="","",N152)</f>
        <v/>
      </c>
      <c r="N153" s="6">
        <f>IF(L153="","",M153+L153)</f>
        <v/>
      </c>
      <c r="O153" s="6">
        <f>IF(N153="","",MAX(Settings!$B$7,N$2:N153))</f>
        <v/>
      </c>
      <c r="P153" s="6">
        <f>IF(N153="","",N153-O153)</f>
        <v/>
      </c>
      <c r="Q153" s="2">
        <f>IF(L153="","",IF(L153&gt;0,"Win",IF(L153&lt;0,"Loss","Flat")))</f>
        <v/>
      </c>
      <c r="R153" s="2" t="n"/>
    </row>
    <row r="154">
      <c r="A154" s="2">
        <f>IF(C154&lt;&gt;"",A153+1,"")</f>
        <v/>
      </c>
      <c r="B154" s="2" t="n"/>
      <c r="C154" s="2" t="n"/>
      <c r="D154" s="2" t="n"/>
      <c r="E154" s="2" t="n"/>
      <c r="F154" s="2" t="n"/>
      <c r="G154" s="6" t="n"/>
      <c r="H154" s="6" t="n"/>
      <c r="I154" s="2">
        <f>IF(OR(E154="",G154="",H154=""),"",IF(E154="Short",G154-H154,H154-G154))</f>
        <v/>
      </c>
      <c r="J154" s="6">
        <f>IF(I154="","",I154*F154*Settings!$B$3)</f>
        <v/>
      </c>
      <c r="K154" s="6" t="n"/>
      <c r="L154" s="6">
        <f>IF(J154="","",J154-K154)</f>
        <v/>
      </c>
      <c r="M154" s="6">
        <f>IF(C154="","",N153)</f>
        <v/>
      </c>
      <c r="N154" s="6">
        <f>IF(L154="","",M154+L154)</f>
        <v/>
      </c>
      <c r="O154" s="6">
        <f>IF(N154="","",MAX(Settings!$B$7,N$2:N154))</f>
        <v/>
      </c>
      <c r="P154" s="6">
        <f>IF(N154="","",N154-O154)</f>
        <v/>
      </c>
      <c r="Q154" s="2">
        <f>IF(L154="","",IF(L154&gt;0,"Win",IF(L154&lt;0,"Loss","Flat")))</f>
        <v/>
      </c>
      <c r="R154" s="2" t="n"/>
    </row>
    <row r="155">
      <c r="A155" s="2">
        <f>IF(C155&lt;&gt;"",A154+1,"")</f>
        <v/>
      </c>
      <c r="B155" s="2" t="n"/>
      <c r="C155" s="2" t="n"/>
      <c r="D155" s="2" t="n"/>
      <c r="E155" s="2" t="n"/>
      <c r="F155" s="2" t="n"/>
      <c r="G155" s="6" t="n"/>
      <c r="H155" s="6" t="n"/>
      <c r="I155" s="2">
        <f>IF(OR(E155="",G155="",H155=""),"",IF(E155="Short",G155-H155,H155-G155))</f>
        <v/>
      </c>
      <c r="J155" s="6">
        <f>IF(I155="","",I155*F155*Settings!$B$3)</f>
        <v/>
      </c>
      <c r="K155" s="6" t="n"/>
      <c r="L155" s="6">
        <f>IF(J155="","",J155-K155)</f>
        <v/>
      </c>
      <c r="M155" s="6">
        <f>IF(C155="","",N154)</f>
        <v/>
      </c>
      <c r="N155" s="6">
        <f>IF(L155="","",M155+L155)</f>
        <v/>
      </c>
      <c r="O155" s="6">
        <f>IF(N155="","",MAX(Settings!$B$7,N$2:N155))</f>
        <v/>
      </c>
      <c r="P155" s="6">
        <f>IF(N155="","",N155-O155)</f>
        <v/>
      </c>
      <c r="Q155" s="2">
        <f>IF(L155="","",IF(L155&gt;0,"Win",IF(L155&lt;0,"Loss","Flat")))</f>
        <v/>
      </c>
      <c r="R155" s="2" t="n"/>
    </row>
    <row r="156">
      <c r="A156" s="2">
        <f>IF(C156&lt;&gt;"",A155+1,"")</f>
        <v/>
      </c>
      <c r="B156" s="2" t="n"/>
      <c r="C156" s="2" t="n"/>
      <c r="D156" s="2" t="n"/>
      <c r="E156" s="2" t="n"/>
      <c r="F156" s="2" t="n"/>
      <c r="G156" s="6" t="n"/>
      <c r="H156" s="6" t="n"/>
      <c r="I156" s="2">
        <f>IF(OR(E156="",G156="",H156=""),"",IF(E156="Short",G156-H156,H156-G156))</f>
        <v/>
      </c>
      <c r="J156" s="6">
        <f>IF(I156="","",I156*F156*Settings!$B$3)</f>
        <v/>
      </c>
      <c r="K156" s="6" t="n"/>
      <c r="L156" s="6">
        <f>IF(J156="","",J156-K156)</f>
        <v/>
      </c>
      <c r="M156" s="6">
        <f>IF(C156="","",N155)</f>
        <v/>
      </c>
      <c r="N156" s="6">
        <f>IF(L156="","",M156+L156)</f>
        <v/>
      </c>
      <c r="O156" s="6">
        <f>IF(N156="","",MAX(Settings!$B$7,N$2:N156))</f>
        <v/>
      </c>
      <c r="P156" s="6">
        <f>IF(N156="","",N156-O156)</f>
        <v/>
      </c>
      <c r="Q156" s="2">
        <f>IF(L156="","",IF(L156&gt;0,"Win",IF(L156&lt;0,"Loss","Flat")))</f>
        <v/>
      </c>
      <c r="R156" s="2" t="n"/>
    </row>
    <row r="157">
      <c r="A157" s="2">
        <f>IF(C157&lt;&gt;"",A156+1,"")</f>
        <v/>
      </c>
      <c r="B157" s="2" t="n"/>
      <c r="C157" s="2" t="n"/>
      <c r="D157" s="2" t="n"/>
      <c r="E157" s="2" t="n"/>
      <c r="F157" s="2" t="n"/>
      <c r="G157" s="6" t="n"/>
      <c r="H157" s="6" t="n"/>
      <c r="I157" s="2">
        <f>IF(OR(E157="",G157="",H157=""),"",IF(E157="Short",G157-H157,H157-G157))</f>
        <v/>
      </c>
      <c r="J157" s="6">
        <f>IF(I157="","",I157*F157*Settings!$B$3)</f>
        <v/>
      </c>
      <c r="K157" s="6" t="n"/>
      <c r="L157" s="6">
        <f>IF(J157="","",J157-K157)</f>
        <v/>
      </c>
      <c r="M157" s="6">
        <f>IF(C157="","",N156)</f>
        <v/>
      </c>
      <c r="N157" s="6">
        <f>IF(L157="","",M157+L157)</f>
        <v/>
      </c>
      <c r="O157" s="6">
        <f>IF(N157="","",MAX(Settings!$B$7,N$2:N157))</f>
        <v/>
      </c>
      <c r="P157" s="6">
        <f>IF(N157="","",N157-O157)</f>
        <v/>
      </c>
      <c r="Q157" s="2">
        <f>IF(L157="","",IF(L157&gt;0,"Win",IF(L157&lt;0,"Loss","Flat")))</f>
        <v/>
      </c>
      <c r="R157" s="2" t="n"/>
    </row>
    <row r="158">
      <c r="A158" s="2">
        <f>IF(C158&lt;&gt;"",A157+1,"")</f>
        <v/>
      </c>
      <c r="B158" s="2" t="n"/>
      <c r="C158" s="2" t="n"/>
      <c r="D158" s="2" t="n"/>
      <c r="E158" s="2" t="n"/>
      <c r="F158" s="2" t="n"/>
      <c r="G158" s="6" t="n"/>
      <c r="H158" s="6" t="n"/>
      <c r="I158" s="2">
        <f>IF(OR(E158="",G158="",H158=""),"",IF(E158="Short",G158-H158,H158-G158))</f>
        <v/>
      </c>
      <c r="J158" s="6">
        <f>IF(I158="","",I158*F158*Settings!$B$3)</f>
        <v/>
      </c>
      <c r="K158" s="6" t="n"/>
      <c r="L158" s="6">
        <f>IF(J158="","",J158-K158)</f>
        <v/>
      </c>
      <c r="M158" s="6">
        <f>IF(C158="","",N157)</f>
        <v/>
      </c>
      <c r="N158" s="6">
        <f>IF(L158="","",M158+L158)</f>
        <v/>
      </c>
      <c r="O158" s="6">
        <f>IF(N158="","",MAX(Settings!$B$7,N$2:N158))</f>
        <v/>
      </c>
      <c r="P158" s="6">
        <f>IF(N158="","",N158-O158)</f>
        <v/>
      </c>
      <c r="Q158" s="2">
        <f>IF(L158="","",IF(L158&gt;0,"Win",IF(L158&lt;0,"Loss","Flat")))</f>
        <v/>
      </c>
      <c r="R158" s="2" t="n"/>
    </row>
    <row r="159">
      <c r="A159" s="2">
        <f>IF(C159&lt;&gt;"",A158+1,"")</f>
        <v/>
      </c>
      <c r="B159" s="2" t="n"/>
      <c r="C159" s="2" t="n"/>
      <c r="D159" s="2" t="n"/>
      <c r="E159" s="2" t="n"/>
      <c r="F159" s="2" t="n"/>
      <c r="G159" s="6" t="n"/>
      <c r="H159" s="6" t="n"/>
      <c r="I159" s="2">
        <f>IF(OR(E159="",G159="",H159=""),"",IF(E159="Short",G159-H159,H159-G159))</f>
        <v/>
      </c>
      <c r="J159" s="6">
        <f>IF(I159="","",I159*F159*Settings!$B$3)</f>
        <v/>
      </c>
      <c r="K159" s="6" t="n"/>
      <c r="L159" s="6">
        <f>IF(J159="","",J159-K159)</f>
        <v/>
      </c>
      <c r="M159" s="6">
        <f>IF(C159="","",N158)</f>
        <v/>
      </c>
      <c r="N159" s="6">
        <f>IF(L159="","",M159+L159)</f>
        <v/>
      </c>
      <c r="O159" s="6">
        <f>IF(N159="","",MAX(Settings!$B$7,N$2:N159))</f>
        <v/>
      </c>
      <c r="P159" s="6">
        <f>IF(N159="","",N159-O159)</f>
        <v/>
      </c>
      <c r="Q159" s="2">
        <f>IF(L159="","",IF(L159&gt;0,"Win",IF(L159&lt;0,"Loss","Flat")))</f>
        <v/>
      </c>
      <c r="R159" s="2" t="n"/>
    </row>
    <row r="160">
      <c r="A160" s="2">
        <f>IF(C160&lt;&gt;"",A159+1,"")</f>
        <v/>
      </c>
      <c r="B160" s="2" t="n"/>
      <c r="C160" s="2" t="n"/>
      <c r="D160" s="2" t="n"/>
      <c r="E160" s="2" t="n"/>
      <c r="F160" s="2" t="n"/>
      <c r="G160" s="6" t="n"/>
      <c r="H160" s="6" t="n"/>
      <c r="I160" s="2">
        <f>IF(OR(E160="",G160="",H160=""),"",IF(E160="Short",G160-H160,H160-G160))</f>
        <v/>
      </c>
      <c r="J160" s="6">
        <f>IF(I160="","",I160*F160*Settings!$B$3)</f>
        <v/>
      </c>
      <c r="K160" s="6" t="n"/>
      <c r="L160" s="6">
        <f>IF(J160="","",J160-K160)</f>
        <v/>
      </c>
      <c r="M160" s="6">
        <f>IF(C160="","",N159)</f>
        <v/>
      </c>
      <c r="N160" s="6">
        <f>IF(L160="","",M160+L160)</f>
        <v/>
      </c>
      <c r="O160" s="6">
        <f>IF(N160="","",MAX(Settings!$B$7,N$2:N160))</f>
        <v/>
      </c>
      <c r="P160" s="6">
        <f>IF(N160="","",N160-O160)</f>
        <v/>
      </c>
      <c r="Q160" s="2">
        <f>IF(L160="","",IF(L160&gt;0,"Win",IF(L160&lt;0,"Loss","Flat")))</f>
        <v/>
      </c>
      <c r="R160" s="2" t="n"/>
    </row>
    <row r="161">
      <c r="A161" s="2">
        <f>IF(C161&lt;&gt;"",A160+1,"")</f>
        <v/>
      </c>
      <c r="B161" s="2" t="n"/>
      <c r="C161" s="2" t="n"/>
      <c r="D161" s="2" t="n"/>
      <c r="E161" s="2" t="n"/>
      <c r="F161" s="2" t="n"/>
      <c r="G161" s="6" t="n"/>
      <c r="H161" s="6" t="n"/>
      <c r="I161" s="2">
        <f>IF(OR(E161="",G161="",H161=""),"",IF(E161="Short",G161-H161,H161-G161))</f>
        <v/>
      </c>
      <c r="J161" s="6">
        <f>IF(I161="","",I161*F161*Settings!$B$3)</f>
        <v/>
      </c>
      <c r="K161" s="6" t="n"/>
      <c r="L161" s="6">
        <f>IF(J161="","",J161-K161)</f>
        <v/>
      </c>
      <c r="M161" s="6">
        <f>IF(C161="","",N160)</f>
        <v/>
      </c>
      <c r="N161" s="6">
        <f>IF(L161="","",M161+L161)</f>
        <v/>
      </c>
      <c r="O161" s="6">
        <f>IF(N161="","",MAX(Settings!$B$7,N$2:N161))</f>
        <v/>
      </c>
      <c r="P161" s="6">
        <f>IF(N161="","",N161-O161)</f>
        <v/>
      </c>
      <c r="Q161" s="2">
        <f>IF(L161="","",IF(L161&gt;0,"Win",IF(L161&lt;0,"Loss","Flat")))</f>
        <v/>
      </c>
      <c r="R161" s="2" t="n"/>
    </row>
    <row r="162">
      <c r="A162" s="2">
        <f>IF(C162&lt;&gt;"",A161+1,"")</f>
        <v/>
      </c>
      <c r="B162" s="2" t="n"/>
      <c r="C162" s="2" t="n"/>
      <c r="D162" s="2" t="n"/>
      <c r="E162" s="2" t="n"/>
      <c r="F162" s="2" t="n"/>
      <c r="G162" s="6" t="n"/>
      <c r="H162" s="6" t="n"/>
      <c r="I162" s="2">
        <f>IF(OR(E162="",G162="",H162=""),"",IF(E162="Short",G162-H162,H162-G162))</f>
        <v/>
      </c>
      <c r="J162" s="6">
        <f>IF(I162="","",I162*F162*Settings!$B$3)</f>
        <v/>
      </c>
      <c r="K162" s="6" t="n"/>
      <c r="L162" s="6">
        <f>IF(J162="","",J162-K162)</f>
        <v/>
      </c>
      <c r="M162" s="6">
        <f>IF(C162="","",N161)</f>
        <v/>
      </c>
      <c r="N162" s="6">
        <f>IF(L162="","",M162+L162)</f>
        <v/>
      </c>
      <c r="O162" s="6">
        <f>IF(N162="","",MAX(Settings!$B$7,N$2:N162))</f>
        <v/>
      </c>
      <c r="P162" s="6">
        <f>IF(N162="","",N162-O162)</f>
        <v/>
      </c>
      <c r="Q162" s="2">
        <f>IF(L162="","",IF(L162&gt;0,"Win",IF(L162&lt;0,"Loss","Flat")))</f>
        <v/>
      </c>
      <c r="R162" s="2" t="n"/>
    </row>
    <row r="163">
      <c r="A163" s="2">
        <f>IF(C163&lt;&gt;"",A162+1,"")</f>
        <v/>
      </c>
      <c r="B163" s="2" t="n"/>
      <c r="C163" s="2" t="n"/>
      <c r="D163" s="2" t="n"/>
      <c r="E163" s="2" t="n"/>
      <c r="F163" s="2" t="n"/>
      <c r="G163" s="6" t="n"/>
      <c r="H163" s="6" t="n"/>
      <c r="I163" s="2">
        <f>IF(OR(E163="",G163="",H163=""),"",IF(E163="Short",G163-H163,H163-G163))</f>
        <v/>
      </c>
      <c r="J163" s="6">
        <f>IF(I163="","",I163*F163*Settings!$B$3)</f>
        <v/>
      </c>
      <c r="K163" s="6" t="n"/>
      <c r="L163" s="6">
        <f>IF(J163="","",J163-K163)</f>
        <v/>
      </c>
      <c r="M163" s="6">
        <f>IF(C163="","",N162)</f>
        <v/>
      </c>
      <c r="N163" s="6">
        <f>IF(L163="","",M163+L163)</f>
        <v/>
      </c>
      <c r="O163" s="6">
        <f>IF(N163="","",MAX(Settings!$B$7,N$2:N163))</f>
        <v/>
      </c>
      <c r="P163" s="6">
        <f>IF(N163="","",N163-O163)</f>
        <v/>
      </c>
      <c r="Q163" s="2">
        <f>IF(L163="","",IF(L163&gt;0,"Win",IF(L163&lt;0,"Loss","Flat")))</f>
        <v/>
      </c>
      <c r="R163" s="2" t="n"/>
    </row>
    <row r="164">
      <c r="A164" s="2">
        <f>IF(C164&lt;&gt;"",A163+1,"")</f>
        <v/>
      </c>
      <c r="B164" s="2" t="n"/>
      <c r="C164" s="2" t="n"/>
      <c r="D164" s="2" t="n"/>
      <c r="E164" s="2" t="n"/>
      <c r="F164" s="2" t="n"/>
      <c r="G164" s="6" t="n"/>
      <c r="H164" s="6" t="n"/>
      <c r="I164" s="2">
        <f>IF(OR(E164="",G164="",H164=""),"",IF(E164="Short",G164-H164,H164-G164))</f>
        <v/>
      </c>
      <c r="J164" s="6">
        <f>IF(I164="","",I164*F164*Settings!$B$3)</f>
        <v/>
      </c>
      <c r="K164" s="6" t="n"/>
      <c r="L164" s="6">
        <f>IF(J164="","",J164-K164)</f>
        <v/>
      </c>
      <c r="M164" s="6">
        <f>IF(C164="","",N163)</f>
        <v/>
      </c>
      <c r="N164" s="6">
        <f>IF(L164="","",M164+L164)</f>
        <v/>
      </c>
      <c r="O164" s="6">
        <f>IF(N164="","",MAX(Settings!$B$7,N$2:N164))</f>
        <v/>
      </c>
      <c r="P164" s="6">
        <f>IF(N164="","",N164-O164)</f>
        <v/>
      </c>
      <c r="Q164" s="2">
        <f>IF(L164="","",IF(L164&gt;0,"Win",IF(L164&lt;0,"Loss","Flat")))</f>
        <v/>
      </c>
      <c r="R164" s="2" t="n"/>
    </row>
    <row r="165">
      <c r="A165" s="2">
        <f>IF(C165&lt;&gt;"",A164+1,"")</f>
        <v/>
      </c>
      <c r="B165" s="2" t="n"/>
      <c r="C165" s="2" t="n"/>
      <c r="D165" s="2" t="n"/>
      <c r="E165" s="2" t="n"/>
      <c r="F165" s="2" t="n"/>
      <c r="G165" s="6" t="n"/>
      <c r="H165" s="6" t="n"/>
      <c r="I165" s="2">
        <f>IF(OR(E165="",G165="",H165=""),"",IF(E165="Short",G165-H165,H165-G165))</f>
        <v/>
      </c>
      <c r="J165" s="6">
        <f>IF(I165="","",I165*F165*Settings!$B$3)</f>
        <v/>
      </c>
      <c r="K165" s="6" t="n"/>
      <c r="L165" s="6">
        <f>IF(J165="","",J165-K165)</f>
        <v/>
      </c>
      <c r="M165" s="6">
        <f>IF(C165="","",N164)</f>
        <v/>
      </c>
      <c r="N165" s="6">
        <f>IF(L165="","",M165+L165)</f>
        <v/>
      </c>
      <c r="O165" s="6">
        <f>IF(N165="","",MAX(Settings!$B$7,N$2:N165))</f>
        <v/>
      </c>
      <c r="P165" s="6">
        <f>IF(N165="","",N165-O165)</f>
        <v/>
      </c>
      <c r="Q165" s="2">
        <f>IF(L165="","",IF(L165&gt;0,"Win",IF(L165&lt;0,"Loss","Flat")))</f>
        <v/>
      </c>
      <c r="R165" s="2" t="n"/>
    </row>
    <row r="166">
      <c r="A166" s="2">
        <f>IF(C166&lt;&gt;"",A165+1,"")</f>
        <v/>
      </c>
      <c r="B166" s="2" t="n"/>
      <c r="C166" s="2" t="n"/>
      <c r="D166" s="2" t="n"/>
      <c r="E166" s="2" t="n"/>
      <c r="F166" s="2" t="n"/>
      <c r="G166" s="6" t="n"/>
      <c r="H166" s="6" t="n"/>
      <c r="I166" s="2">
        <f>IF(OR(E166="",G166="",H166=""),"",IF(E166="Short",G166-H166,H166-G166))</f>
        <v/>
      </c>
      <c r="J166" s="6">
        <f>IF(I166="","",I166*F166*Settings!$B$3)</f>
        <v/>
      </c>
      <c r="K166" s="6" t="n"/>
      <c r="L166" s="6">
        <f>IF(J166="","",J166-K166)</f>
        <v/>
      </c>
      <c r="M166" s="6">
        <f>IF(C166="","",N165)</f>
        <v/>
      </c>
      <c r="N166" s="6">
        <f>IF(L166="","",M166+L166)</f>
        <v/>
      </c>
      <c r="O166" s="6">
        <f>IF(N166="","",MAX(Settings!$B$7,N$2:N166))</f>
        <v/>
      </c>
      <c r="P166" s="6">
        <f>IF(N166="","",N166-O166)</f>
        <v/>
      </c>
      <c r="Q166" s="2">
        <f>IF(L166="","",IF(L166&gt;0,"Win",IF(L166&lt;0,"Loss","Flat")))</f>
        <v/>
      </c>
      <c r="R166" s="2" t="n"/>
    </row>
    <row r="167">
      <c r="A167" s="2">
        <f>IF(C167&lt;&gt;"",A166+1,"")</f>
        <v/>
      </c>
      <c r="B167" s="2" t="n"/>
      <c r="C167" s="2" t="n"/>
      <c r="D167" s="2" t="n"/>
      <c r="E167" s="2" t="n"/>
      <c r="F167" s="2" t="n"/>
      <c r="G167" s="6" t="n"/>
      <c r="H167" s="6" t="n"/>
      <c r="I167" s="2">
        <f>IF(OR(E167="",G167="",H167=""),"",IF(E167="Short",G167-H167,H167-G167))</f>
        <v/>
      </c>
      <c r="J167" s="6">
        <f>IF(I167="","",I167*F167*Settings!$B$3)</f>
        <v/>
      </c>
      <c r="K167" s="6" t="n"/>
      <c r="L167" s="6">
        <f>IF(J167="","",J167-K167)</f>
        <v/>
      </c>
      <c r="M167" s="6">
        <f>IF(C167="","",N166)</f>
        <v/>
      </c>
      <c r="N167" s="6">
        <f>IF(L167="","",M167+L167)</f>
        <v/>
      </c>
      <c r="O167" s="6">
        <f>IF(N167="","",MAX(Settings!$B$7,N$2:N167))</f>
        <v/>
      </c>
      <c r="P167" s="6">
        <f>IF(N167="","",N167-O167)</f>
        <v/>
      </c>
      <c r="Q167" s="2">
        <f>IF(L167="","",IF(L167&gt;0,"Win",IF(L167&lt;0,"Loss","Flat")))</f>
        <v/>
      </c>
      <c r="R167" s="2" t="n"/>
    </row>
    <row r="168">
      <c r="A168" s="2">
        <f>IF(C168&lt;&gt;"",A167+1,"")</f>
        <v/>
      </c>
      <c r="B168" s="2" t="n"/>
      <c r="C168" s="2" t="n"/>
      <c r="D168" s="2" t="n"/>
      <c r="E168" s="2" t="n"/>
      <c r="F168" s="2" t="n"/>
      <c r="G168" s="6" t="n"/>
      <c r="H168" s="6" t="n"/>
      <c r="I168" s="2">
        <f>IF(OR(E168="",G168="",H168=""),"",IF(E168="Short",G168-H168,H168-G168))</f>
        <v/>
      </c>
      <c r="J168" s="6">
        <f>IF(I168="","",I168*F168*Settings!$B$3)</f>
        <v/>
      </c>
      <c r="K168" s="6" t="n"/>
      <c r="L168" s="6">
        <f>IF(J168="","",J168-K168)</f>
        <v/>
      </c>
      <c r="M168" s="6">
        <f>IF(C168="","",N167)</f>
        <v/>
      </c>
      <c r="N168" s="6">
        <f>IF(L168="","",M168+L168)</f>
        <v/>
      </c>
      <c r="O168" s="6">
        <f>IF(N168="","",MAX(Settings!$B$7,N$2:N168))</f>
        <v/>
      </c>
      <c r="P168" s="6">
        <f>IF(N168="","",N168-O168)</f>
        <v/>
      </c>
      <c r="Q168" s="2">
        <f>IF(L168="","",IF(L168&gt;0,"Win",IF(L168&lt;0,"Loss","Flat")))</f>
        <v/>
      </c>
      <c r="R168" s="2" t="n"/>
    </row>
    <row r="169">
      <c r="A169" s="2">
        <f>IF(C169&lt;&gt;"",A168+1,"")</f>
        <v/>
      </c>
      <c r="B169" s="2" t="n"/>
      <c r="C169" s="2" t="n"/>
      <c r="D169" s="2" t="n"/>
      <c r="E169" s="2" t="n"/>
      <c r="F169" s="2" t="n"/>
      <c r="G169" s="6" t="n"/>
      <c r="H169" s="6" t="n"/>
      <c r="I169" s="2">
        <f>IF(OR(E169="",G169="",H169=""),"",IF(E169="Short",G169-H169,H169-G169))</f>
        <v/>
      </c>
      <c r="J169" s="6">
        <f>IF(I169="","",I169*F169*Settings!$B$3)</f>
        <v/>
      </c>
      <c r="K169" s="6" t="n"/>
      <c r="L169" s="6">
        <f>IF(J169="","",J169-K169)</f>
        <v/>
      </c>
      <c r="M169" s="6">
        <f>IF(C169="","",N168)</f>
        <v/>
      </c>
      <c r="N169" s="6">
        <f>IF(L169="","",M169+L169)</f>
        <v/>
      </c>
      <c r="O169" s="6">
        <f>IF(N169="","",MAX(Settings!$B$7,N$2:N169))</f>
        <v/>
      </c>
      <c r="P169" s="6">
        <f>IF(N169="","",N169-O169)</f>
        <v/>
      </c>
      <c r="Q169" s="2">
        <f>IF(L169="","",IF(L169&gt;0,"Win",IF(L169&lt;0,"Loss","Flat")))</f>
        <v/>
      </c>
      <c r="R169" s="2" t="n"/>
    </row>
    <row r="170">
      <c r="A170" s="2">
        <f>IF(C170&lt;&gt;"",A169+1,"")</f>
        <v/>
      </c>
      <c r="B170" s="2" t="n"/>
      <c r="C170" s="2" t="n"/>
      <c r="D170" s="2" t="n"/>
      <c r="E170" s="2" t="n"/>
      <c r="F170" s="2" t="n"/>
      <c r="G170" s="6" t="n"/>
      <c r="H170" s="6" t="n"/>
      <c r="I170" s="2">
        <f>IF(OR(E170="",G170="",H170=""),"",IF(E170="Short",G170-H170,H170-G170))</f>
        <v/>
      </c>
      <c r="J170" s="6">
        <f>IF(I170="","",I170*F170*Settings!$B$3)</f>
        <v/>
      </c>
      <c r="K170" s="6" t="n"/>
      <c r="L170" s="6">
        <f>IF(J170="","",J170-K170)</f>
        <v/>
      </c>
      <c r="M170" s="6">
        <f>IF(C170="","",N169)</f>
        <v/>
      </c>
      <c r="N170" s="6">
        <f>IF(L170="","",M170+L170)</f>
        <v/>
      </c>
      <c r="O170" s="6">
        <f>IF(N170="","",MAX(Settings!$B$7,N$2:N170))</f>
        <v/>
      </c>
      <c r="P170" s="6">
        <f>IF(N170="","",N170-O170)</f>
        <v/>
      </c>
      <c r="Q170" s="2">
        <f>IF(L170="","",IF(L170&gt;0,"Win",IF(L170&lt;0,"Loss","Flat")))</f>
        <v/>
      </c>
      <c r="R170" s="2" t="n"/>
    </row>
    <row r="171">
      <c r="A171" s="2">
        <f>IF(C171&lt;&gt;"",A170+1,"")</f>
        <v/>
      </c>
      <c r="B171" s="2" t="n"/>
      <c r="C171" s="2" t="n"/>
      <c r="D171" s="2" t="n"/>
      <c r="E171" s="2" t="n"/>
      <c r="F171" s="2" t="n"/>
      <c r="G171" s="6" t="n"/>
      <c r="H171" s="6" t="n"/>
      <c r="I171" s="2">
        <f>IF(OR(E171="",G171="",H171=""),"",IF(E171="Short",G171-H171,H171-G171))</f>
        <v/>
      </c>
      <c r="J171" s="6">
        <f>IF(I171="","",I171*F171*Settings!$B$3)</f>
        <v/>
      </c>
      <c r="K171" s="6" t="n"/>
      <c r="L171" s="6">
        <f>IF(J171="","",J171-K171)</f>
        <v/>
      </c>
      <c r="M171" s="6">
        <f>IF(C171="","",N170)</f>
        <v/>
      </c>
      <c r="N171" s="6">
        <f>IF(L171="","",M171+L171)</f>
        <v/>
      </c>
      <c r="O171" s="6">
        <f>IF(N171="","",MAX(Settings!$B$7,N$2:N171))</f>
        <v/>
      </c>
      <c r="P171" s="6">
        <f>IF(N171="","",N171-O171)</f>
        <v/>
      </c>
      <c r="Q171" s="2">
        <f>IF(L171="","",IF(L171&gt;0,"Win",IF(L171&lt;0,"Loss","Flat")))</f>
        <v/>
      </c>
      <c r="R171" s="2" t="n"/>
    </row>
    <row r="172">
      <c r="A172" s="2">
        <f>IF(C172&lt;&gt;"",A171+1,"")</f>
        <v/>
      </c>
      <c r="B172" s="2" t="n"/>
      <c r="C172" s="2" t="n"/>
      <c r="D172" s="2" t="n"/>
      <c r="E172" s="2" t="n"/>
      <c r="F172" s="2" t="n"/>
      <c r="G172" s="6" t="n"/>
      <c r="H172" s="6" t="n"/>
      <c r="I172" s="2">
        <f>IF(OR(E172="",G172="",H172=""),"",IF(E172="Short",G172-H172,H172-G172))</f>
        <v/>
      </c>
      <c r="J172" s="6">
        <f>IF(I172="","",I172*F172*Settings!$B$3)</f>
        <v/>
      </c>
      <c r="K172" s="6" t="n"/>
      <c r="L172" s="6">
        <f>IF(J172="","",J172-K172)</f>
        <v/>
      </c>
      <c r="M172" s="6">
        <f>IF(C172="","",N171)</f>
        <v/>
      </c>
      <c r="N172" s="6">
        <f>IF(L172="","",M172+L172)</f>
        <v/>
      </c>
      <c r="O172" s="6">
        <f>IF(N172="","",MAX(Settings!$B$7,N$2:N172))</f>
        <v/>
      </c>
      <c r="P172" s="6">
        <f>IF(N172="","",N172-O172)</f>
        <v/>
      </c>
      <c r="Q172" s="2">
        <f>IF(L172="","",IF(L172&gt;0,"Win",IF(L172&lt;0,"Loss","Flat")))</f>
        <v/>
      </c>
      <c r="R172" s="2" t="n"/>
    </row>
    <row r="173">
      <c r="A173" s="2">
        <f>IF(C173&lt;&gt;"",A172+1,"")</f>
        <v/>
      </c>
      <c r="B173" s="2" t="n"/>
      <c r="C173" s="2" t="n"/>
      <c r="D173" s="2" t="n"/>
      <c r="E173" s="2" t="n"/>
      <c r="F173" s="2" t="n"/>
      <c r="G173" s="6" t="n"/>
      <c r="H173" s="6" t="n"/>
      <c r="I173" s="2">
        <f>IF(OR(E173="",G173="",H173=""),"",IF(E173="Short",G173-H173,H173-G173))</f>
        <v/>
      </c>
      <c r="J173" s="6">
        <f>IF(I173="","",I173*F173*Settings!$B$3)</f>
        <v/>
      </c>
      <c r="K173" s="6" t="n"/>
      <c r="L173" s="6">
        <f>IF(J173="","",J173-K173)</f>
        <v/>
      </c>
      <c r="M173" s="6">
        <f>IF(C173="","",N172)</f>
        <v/>
      </c>
      <c r="N173" s="6">
        <f>IF(L173="","",M173+L173)</f>
        <v/>
      </c>
      <c r="O173" s="6">
        <f>IF(N173="","",MAX(Settings!$B$7,N$2:N173))</f>
        <v/>
      </c>
      <c r="P173" s="6">
        <f>IF(N173="","",N173-O173)</f>
        <v/>
      </c>
      <c r="Q173" s="2">
        <f>IF(L173="","",IF(L173&gt;0,"Win",IF(L173&lt;0,"Loss","Flat")))</f>
        <v/>
      </c>
      <c r="R173" s="2" t="n"/>
    </row>
    <row r="174">
      <c r="A174" s="2">
        <f>IF(C174&lt;&gt;"",A173+1,"")</f>
        <v/>
      </c>
      <c r="B174" s="2" t="n"/>
      <c r="C174" s="2" t="n"/>
      <c r="D174" s="2" t="n"/>
      <c r="E174" s="2" t="n"/>
      <c r="F174" s="2" t="n"/>
      <c r="G174" s="6" t="n"/>
      <c r="H174" s="6" t="n"/>
      <c r="I174" s="2">
        <f>IF(OR(E174="",G174="",H174=""),"",IF(E174="Short",G174-H174,H174-G174))</f>
        <v/>
      </c>
      <c r="J174" s="6">
        <f>IF(I174="","",I174*F174*Settings!$B$3)</f>
        <v/>
      </c>
      <c r="K174" s="6" t="n"/>
      <c r="L174" s="6">
        <f>IF(J174="","",J174-K174)</f>
        <v/>
      </c>
      <c r="M174" s="6">
        <f>IF(C174="","",N173)</f>
        <v/>
      </c>
      <c r="N174" s="6">
        <f>IF(L174="","",M174+L174)</f>
        <v/>
      </c>
      <c r="O174" s="6">
        <f>IF(N174="","",MAX(Settings!$B$7,N$2:N174))</f>
        <v/>
      </c>
      <c r="P174" s="6">
        <f>IF(N174="","",N174-O174)</f>
        <v/>
      </c>
      <c r="Q174" s="2">
        <f>IF(L174="","",IF(L174&gt;0,"Win",IF(L174&lt;0,"Loss","Flat")))</f>
        <v/>
      </c>
      <c r="R174" s="2" t="n"/>
    </row>
    <row r="175">
      <c r="A175" s="2">
        <f>IF(C175&lt;&gt;"",A174+1,"")</f>
        <v/>
      </c>
      <c r="B175" s="2" t="n"/>
      <c r="C175" s="2" t="n"/>
      <c r="D175" s="2" t="n"/>
      <c r="E175" s="2" t="n"/>
      <c r="F175" s="2" t="n"/>
      <c r="G175" s="6" t="n"/>
      <c r="H175" s="6" t="n"/>
      <c r="I175" s="2">
        <f>IF(OR(E175="",G175="",H175=""),"",IF(E175="Short",G175-H175,H175-G175))</f>
        <v/>
      </c>
      <c r="J175" s="6">
        <f>IF(I175="","",I175*F175*Settings!$B$3)</f>
        <v/>
      </c>
      <c r="K175" s="6" t="n"/>
      <c r="L175" s="6">
        <f>IF(J175="","",J175-K175)</f>
        <v/>
      </c>
      <c r="M175" s="6">
        <f>IF(C175="","",N174)</f>
        <v/>
      </c>
      <c r="N175" s="6">
        <f>IF(L175="","",M175+L175)</f>
        <v/>
      </c>
      <c r="O175" s="6">
        <f>IF(N175="","",MAX(Settings!$B$7,N$2:N175))</f>
        <v/>
      </c>
      <c r="P175" s="6">
        <f>IF(N175="","",N175-O175)</f>
        <v/>
      </c>
      <c r="Q175" s="2">
        <f>IF(L175="","",IF(L175&gt;0,"Win",IF(L175&lt;0,"Loss","Flat")))</f>
        <v/>
      </c>
      <c r="R175" s="2" t="n"/>
    </row>
    <row r="176">
      <c r="A176" s="2">
        <f>IF(C176&lt;&gt;"",A175+1,"")</f>
        <v/>
      </c>
      <c r="B176" s="2" t="n"/>
      <c r="C176" s="2" t="n"/>
      <c r="D176" s="2" t="n"/>
      <c r="E176" s="2" t="n"/>
      <c r="F176" s="2" t="n"/>
      <c r="G176" s="6" t="n"/>
      <c r="H176" s="6" t="n"/>
      <c r="I176" s="2">
        <f>IF(OR(E176="",G176="",H176=""),"",IF(E176="Short",G176-H176,H176-G176))</f>
        <v/>
      </c>
      <c r="J176" s="6">
        <f>IF(I176="","",I176*F176*Settings!$B$3)</f>
        <v/>
      </c>
      <c r="K176" s="6" t="n"/>
      <c r="L176" s="6">
        <f>IF(J176="","",J176-K176)</f>
        <v/>
      </c>
      <c r="M176" s="6">
        <f>IF(C176="","",N175)</f>
        <v/>
      </c>
      <c r="N176" s="6">
        <f>IF(L176="","",M176+L176)</f>
        <v/>
      </c>
      <c r="O176" s="6">
        <f>IF(N176="","",MAX(Settings!$B$7,N$2:N176))</f>
        <v/>
      </c>
      <c r="P176" s="6">
        <f>IF(N176="","",N176-O176)</f>
        <v/>
      </c>
      <c r="Q176" s="2">
        <f>IF(L176="","",IF(L176&gt;0,"Win",IF(L176&lt;0,"Loss","Flat")))</f>
        <v/>
      </c>
      <c r="R176" s="2" t="n"/>
    </row>
    <row r="177">
      <c r="A177" s="2">
        <f>IF(C177&lt;&gt;"",A176+1,"")</f>
        <v/>
      </c>
      <c r="B177" s="2" t="n"/>
      <c r="C177" s="2" t="n"/>
      <c r="D177" s="2" t="n"/>
      <c r="E177" s="2" t="n"/>
      <c r="F177" s="2" t="n"/>
      <c r="G177" s="6" t="n"/>
      <c r="H177" s="6" t="n"/>
      <c r="I177" s="2">
        <f>IF(OR(E177="",G177="",H177=""),"",IF(E177="Short",G177-H177,H177-G177))</f>
        <v/>
      </c>
      <c r="J177" s="6">
        <f>IF(I177="","",I177*F177*Settings!$B$3)</f>
        <v/>
      </c>
      <c r="K177" s="6" t="n"/>
      <c r="L177" s="6">
        <f>IF(J177="","",J177-K177)</f>
        <v/>
      </c>
      <c r="M177" s="6">
        <f>IF(C177="","",N176)</f>
        <v/>
      </c>
      <c r="N177" s="6">
        <f>IF(L177="","",M177+L177)</f>
        <v/>
      </c>
      <c r="O177" s="6">
        <f>IF(N177="","",MAX(Settings!$B$7,N$2:N177))</f>
        <v/>
      </c>
      <c r="P177" s="6">
        <f>IF(N177="","",N177-O177)</f>
        <v/>
      </c>
      <c r="Q177" s="2">
        <f>IF(L177="","",IF(L177&gt;0,"Win",IF(L177&lt;0,"Loss","Flat")))</f>
        <v/>
      </c>
      <c r="R177" s="2" t="n"/>
    </row>
    <row r="178">
      <c r="A178" s="2">
        <f>IF(C178&lt;&gt;"",A177+1,"")</f>
        <v/>
      </c>
      <c r="B178" s="2" t="n"/>
      <c r="C178" s="2" t="n"/>
      <c r="D178" s="2" t="n"/>
      <c r="E178" s="2" t="n"/>
      <c r="F178" s="2" t="n"/>
      <c r="G178" s="6" t="n"/>
      <c r="H178" s="6" t="n"/>
      <c r="I178" s="2">
        <f>IF(OR(E178="",G178="",H178=""),"",IF(E178="Short",G178-H178,H178-G178))</f>
        <v/>
      </c>
      <c r="J178" s="6">
        <f>IF(I178="","",I178*F178*Settings!$B$3)</f>
        <v/>
      </c>
      <c r="K178" s="6" t="n"/>
      <c r="L178" s="6">
        <f>IF(J178="","",J178-K178)</f>
        <v/>
      </c>
      <c r="M178" s="6">
        <f>IF(C178="","",N177)</f>
        <v/>
      </c>
      <c r="N178" s="6">
        <f>IF(L178="","",M178+L178)</f>
        <v/>
      </c>
      <c r="O178" s="6">
        <f>IF(N178="","",MAX(Settings!$B$7,N$2:N178))</f>
        <v/>
      </c>
      <c r="P178" s="6">
        <f>IF(N178="","",N178-O178)</f>
        <v/>
      </c>
      <c r="Q178" s="2">
        <f>IF(L178="","",IF(L178&gt;0,"Win",IF(L178&lt;0,"Loss","Flat")))</f>
        <v/>
      </c>
      <c r="R178" s="2" t="n"/>
    </row>
    <row r="179">
      <c r="A179" s="2">
        <f>IF(C179&lt;&gt;"",A178+1,"")</f>
        <v/>
      </c>
      <c r="B179" s="2" t="n"/>
      <c r="C179" s="2" t="n"/>
      <c r="D179" s="2" t="n"/>
      <c r="E179" s="2" t="n"/>
      <c r="F179" s="2" t="n"/>
      <c r="G179" s="6" t="n"/>
      <c r="H179" s="6" t="n"/>
      <c r="I179" s="2">
        <f>IF(OR(E179="",G179="",H179=""),"",IF(E179="Short",G179-H179,H179-G179))</f>
        <v/>
      </c>
      <c r="J179" s="6">
        <f>IF(I179="","",I179*F179*Settings!$B$3)</f>
        <v/>
      </c>
      <c r="K179" s="6" t="n"/>
      <c r="L179" s="6">
        <f>IF(J179="","",J179-K179)</f>
        <v/>
      </c>
      <c r="M179" s="6">
        <f>IF(C179="","",N178)</f>
        <v/>
      </c>
      <c r="N179" s="6">
        <f>IF(L179="","",M179+L179)</f>
        <v/>
      </c>
      <c r="O179" s="6">
        <f>IF(N179="","",MAX(Settings!$B$7,N$2:N179))</f>
        <v/>
      </c>
      <c r="P179" s="6">
        <f>IF(N179="","",N179-O179)</f>
        <v/>
      </c>
      <c r="Q179" s="2">
        <f>IF(L179="","",IF(L179&gt;0,"Win",IF(L179&lt;0,"Loss","Flat")))</f>
        <v/>
      </c>
      <c r="R179" s="2" t="n"/>
    </row>
    <row r="180">
      <c r="A180" s="2">
        <f>IF(C180&lt;&gt;"",A179+1,"")</f>
        <v/>
      </c>
      <c r="B180" s="2" t="n"/>
      <c r="C180" s="2" t="n"/>
      <c r="D180" s="2" t="n"/>
      <c r="E180" s="2" t="n"/>
      <c r="F180" s="2" t="n"/>
      <c r="G180" s="6" t="n"/>
      <c r="H180" s="6" t="n"/>
      <c r="I180" s="2">
        <f>IF(OR(E180="",G180="",H180=""),"",IF(E180="Short",G180-H180,H180-G180))</f>
        <v/>
      </c>
      <c r="J180" s="6">
        <f>IF(I180="","",I180*F180*Settings!$B$3)</f>
        <v/>
      </c>
      <c r="K180" s="6" t="n"/>
      <c r="L180" s="6">
        <f>IF(J180="","",J180-K180)</f>
        <v/>
      </c>
      <c r="M180" s="6">
        <f>IF(C180="","",N179)</f>
        <v/>
      </c>
      <c r="N180" s="6">
        <f>IF(L180="","",M180+L180)</f>
        <v/>
      </c>
      <c r="O180" s="6">
        <f>IF(N180="","",MAX(Settings!$B$7,N$2:N180))</f>
        <v/>
      </c>
      <c r="P180" s="6">
        <f>IF(N180="","",N180-O180)</f>
        <v/>
      </c>
      <c r="Q180" s="2">
        <f>IF(L180="","",IF(L180&gt;0,"Win",IF(L180&lt;0,"Loss","Flat")))</f>
        <v/>
      </c>
      <c r="R180" s="2" t="n"/>
    </row>
    <row r="181">
      <c r="A181" s="2">
        <f>IF(C181&lt;&gt;"",A180+1,"")</f>
        <v/>
      </c>
      <c r="B181" s="2" t="n"/>
      <c r="C181" s="2" t="n"/>
      <c r="D181" s="2" t="n"/>
      <c r="E181" s="2" t="n"/>
      <c r="F181" s="2" t="n"/>
      <c r="G181" s="6" t="n"/>
      <c r="H181" s="6" t="n"/>
      <c r="I181" s="2">
        <f>IF(OR(E181="",G181="",H181=""),"",IF(E181="Short",G181-H181,H181-G181))</f>
        <v/>
      </c>
      <c r="J181" s="6">
        <f>IF(I181="","",I181*F181*Settings!$B$3)</f>
        <v/>
      </c>
      <c r="K181" s="6" t="n"/>
      <c r="L181" s="6">
        <f>IF(J181="","",J181-K181)</f>
        <v/>
      </c>
      <c r="M181" s="6">
        <f>IF(C181="","",N180)</f>
        <v/>
      </c>
      <c r="N181" s="6">
        <f>IF(L181="","",M181+L181)</f>
        <v/>
      </c>
      <c r="O181" s="6">
        <f>IF(N181="","",MAX(Settings!$B$7,N$2:N181))</f>
        <v/>
      </c>
      <c r="P181" s="6">
        <f>IF(N181="","",N181-O181)</f>
        <v/>
      </c>
      <c r="Q181" s="2">
        <f>IF(L181="","",IF(L181&gt;0,"Win",IF(L181&lt;0,"Loss","Flat")))</f>
        <v/>
      </c>
      <c r="R181" s="2" t="n"/>
    </row>
    <row r="182">
      <c r="A182" s="2">
        <f>IF(C182&lt;&gt;"",A181+1,"")</f>
        <v/>
      </c>
      <c r="B182" s="2" t="n"/>
      <c r="C182" s="2" t="n"/>
      <c r="D182" s="2" t="n"/>
      <c r="E182" s="2" t="n"/>
      <c r="F182" s="2" t="n"/>
      <c r="G182" s="6" t="n"/>
      <c r="H182" s="6" t="n"/>
      <c r="I182" s="2">
        <f>IF(OR(E182="",G182="",H182=""),"",IF(E182="Short",G182-H182,H182-G182))</f>
        <v/>
      </c>
      <c r="J182" s="6">
        <f>IF(I182="","",I182*F182*Settings!$B$3)</f>
        <v/>
      </c>
      <c r="K182" s="6" t="n"/>
      <c r="L182" s="6">
        <f>IF(J182="","",J182-K182)</f>
        <v/>
      </c>
      <c r="M182" s="6">
        <f>IF(C182="","",N181)</f>
        <v/>
      </c>
      <c r="N182" s="6">
        <f>IF(L182="","",M182+L182)</f>
        <v/>
      </c>
      <c r="O182" s="6">
        <f>IF(N182="","",MAX(Settings!$B$7,N$2:N182))</f>
        <v/>
      </c>
      <c r="P182" s="6">
        <f>IF(N182="","",N182-O182)</f>
        <v/>
      </c>
      <c r="Q182" s="2">
        <f>IF(L182="","",IF(L182&gt;0,"Win",IF(L182&lt;0,"Loss","Flat")))</f>
        <v/>
      </c>
      <c r="R182" s="2" t="n"/>
    </row>
    <row r="183">
      <c r="A183" s="2">
        <f>IF(C183&lt;&gt;"",A182+1,"")</f>
        <v/>
      </c>
      <c r="B183" s="2" t="n"/>
      <c r="C183" s="2" t="n"/>
      <c r="D183" s="2" t="n"/>
      <c r="E183" s="2" t="n"/>
      <c r="F183" s="2" t="n"/>
      <c r="G183" s="6" t="n"/>
      <c r="H183" s="6" t="n"/>
      <c r="I183" s="2">
        <f>IF(OR(E183="",G183="",H183=""),"",IF(E183="Short",G183-H183,H183-G183))</f>
        <v/>
      </c>
      <c r="J183" s="6">
        <f>IF(I183="","",I183*F183*Settings!$B$3)</f>
        <v/>
      </c>
      <c r="K183" s="6" t="n"/>
      <c r="L183" s="6">
        <f>IF(J183="","",J183-K183)</f>
        <v/>
      </c>
      <c r="M183" s="6">
        <f>IF(C183="","",N182)</f>
        <v/>
      </c>
      <c r="N183" s="6">
        <f>IF(L183="","",M183+L183)</f>
        <v/>
      </c>
      <c r="O183" s="6">
        <f>IF(N183="","",MAX(Settings!$B$7,N$2:N183))</f>
        <v/>
      </c>
      <c r="P183" s="6">
        <f>IF(N183="","",N183-O183)</f>
        <v/>
      </c>
      <c r="Q183" s="2">
        <f>IF(L183="","",IF(L183&gt;0,"Win",IF(L183&lt;0,"Loss","Flat")))</f>
        <v/>
      </c>
      <c r="R183" s="2" t="n"/>
    </row>
    <row r="184">
      <c r="A184" s="2">
        <f>IF(C184&lt;&gt;"",A183+1,"")</f>
        <v/>
      </c>
      <c r="B184" s="2" t="n"/>
      <c r="C184" s="2" t="n"/>
      <c r="D184" s="2" t="n"/>
      <c r="E184" s="2" t="n"/>
      <c r="F184" s="2" t="n"/>
      <c r="G184" s="6" t="n"/>
      <c r="H184" s="6" t="n"/>
      <c r="I184" s="2">
        <f>IF(OR(E184="",G184="",H184=""),"",IF(E184="Short",G184-H184,H184-G184))</f>
        <v/>
      </c>
      <c r="J184" s="6">
        <f>IF(I184="","",I184*F184*Settings!$B$3)</f>
        <v/>
      </c>
      <c r="K184" s="6" t="n"/>
      <c r="L184" s="6">
        <f>IF(J184="","",J184-K184)</f>
        <v/>
      </c>
      <c r="M184" s="6">
        <f>IF(C184="","",N183)</f>
        <v/>
      </c>
      <c r="N184" s="6">
        <f>IF(L184="","",M184+L184)</f>
        <v/>
      </c>
      <c r="O184" s="6">
        <f>IF(N184="","",MAX(Settings!$B$7,N$2:N184))</f>
        <v/>
      </c>
      <c r="P184" s="6">
        <f>IF(N184="","",N184-O184)</f>
        <v/>
      </c>
      <c r="Q184" s="2">
        <f>IF(L184="","",IF(L184&gt;0,"Win",IF(L184&lt;0,"Loss","Flat")))</f>
        <v/>
      </c>
      <c r="R184" s="2" t="n"/>
    </row>
    <row r="185">
      <c r="A185" s="2">
        <f>IF(C185&lt;&gt;"",A184+1,"")</f>
        <v/>
      </c>
      <c r="B185" s="2" t="n"/>
      <c r="C185" s="2" t="n"/>
      <c r="D185" s="2" t="n"/>
      <c r="E185" s="2" t="n"/>
      <c r="F185" s="2" t="n"/>
      <c r="G185" s="6" t="n"/>
      <c r="H185" s="6" t="n"/>
      <c r="I185" s="2">
        <f>IF(OR(E185="",G185="",H185=""),"",IF(E185="Short",G185-H185,H185-G185))</f>
        <v/>
      </c>
      <c r="J185" s="6">
        <f>IF(I185="","",I185*F185*Settings!$B$3)</f>
        <v/>
      </c>
      <c r="K185" s="6" t="n"/>
      <c r="L185" s="6">
        <f>IF(J185="","",J185-K185)</f>
        <v/>
      </c>
      <c r="M185" s="6">
        <f>IF(C185="","",N184)</f>
        <v/>
      </c>
      <c r="N185" s="6">
        <f>IF(L185="","",M185+L185)</f>
        <v/>
      </c>
      <c r="O185" s="6">
        <f>IF(N185="","",MAX(Settings!$B$7,N$2:N185))</f>
        <v/>
      </c>
      <c r="P185" s="6">
        <f>IF(N185="","",N185-O185)</f>
        <v/>
      </c>
      <c r="Q185" s="2">
        <f>IF(L185="","",IF(L185&gt;0,"Win",IF(L185&lt;0,"Loss","Flat")))</f>
        <v/>
      </c>
      <c r="R185" s="2" t="n"/>
    </row>
    <row r="186">
      <c r="A186" s="2">
        <f>IF(C186&lt;&gt;"",A185+1,"")</f>
        <v/>
      </c>
      <c r="B186" s="2" t="n"/>
      <c r="C186" s="2" t="n"/>
      <c r="D186" s="2" t="n"/>
      <c r="E186" s="2" t="n"/>
      <c r="F186" s="2" t="n"/>
      <c r="G186" s="6" t="n"/>
      <c r="H186" s="6" t="n"/>
      <c r="I186" s="2">
        <f>IF(OR(E186="",G186="",H186=""),"",IF(E186="Short",G186-H186,H186-G186))</f>
        <v/>
      </c>
      <c r="J186" s="6">
        <f>IF(I186="","",I186*F186*Settings!$B$3)</f>
        <v/>
      </c>
      <c r="K186" s="6" t="n"/>
      <c r="L186" s="6">
        <f>IF(J186="","",J186-K186)</f>
        <v/>
      </c>
      <c r="M186" s="6">
        <f>IF(C186="","",N185)</f>
        <v/>
      </c>
      <c r="N186" s="6">
        <f>IF(L186="","",M186+L186)</f>
        <v/>
      </c>
      <c r="O186" s="6">
        <f>IF(N186="","",MAX(Settings!$B$7,N$2:N186))</f>
        <v/>
      </c>
      <c r="P186" s="6">
        <f>IF(N186="","",N186-O186)</f>
        <v/>
      </c>
      <c r="Q186" s="2">
        <f>IF(L186="","",IF(L186&gt;0,"Win",IF(L186&lt;0,"Loss","Flat")))</f>
        <v/>
      </c>
      <c r="R186" s="2" t="n"/>
    </row>
    <row r="187">
      <c r="A187" s="2">
        <f>IF(C187&lt;&gt;"",A186+1,"")</f>
        <v/>
      </c>
      <c r="B187" s="2" t="n"/>
      <c r="C187" s="2" t="n"/>
      <c r="D187" s="2" t="n"/>
      <c r="E187" s="2" t="n"/>
      <c r="F187" s="2" t="n"/>
      <c r="G187" s="6" t="n"/>
      <c r="H187" s="6" t="n"/>
      <c r="I187" s="2">
        <f>IF(OR(E187="",G187="",H187=""),"",IF(E187="Short",G187-H187,H187-G187))</f>
        <v/>
      </c>
      <c r="J187" s="6">
        <f>IF(I187="","",I187*F187*Settings!$B$3)</f>
        <v/>
      </c>
      <c r="K187" s="6" t="n"/>
      <c r="L187" s="6">
        <f>IF(J187="","",J187-K187)</f>
        <v/>
      </c>
      <c r="M187" s="6">
        <f>IF(C187="","",N186)</f>
        <v/>
      </c>
      <c r="N187" s="6">
        <f>IF(L187="","",M187+L187)</f>
        <v/>
      </c>
      <c r="O187" s="6">
        <f>IF(N187="","",MAX(Settings!$B$7,N$2:N187))</f>
        <v/>
      </c>
      <c r="P187" s="6">
        <f>IF(N187="","",N187-O187)</f>
        <v/>
      </c>
      <c r="Q187" s="2">
        <f>IF(L187="","",IF(L187&gt;0,"Win",IF(L187&lt;0,"Loss","Flat")))</f>
        <v/>
      </c>
      <c r="R187" s="2" t="n"/>
    </row>
    <row r="188">
      <c r="A188" s="2">
        <f>IF(C188&lt;&gt;"",A187+1,"")</f>
        <v/>
      </c>
      <c r="B188" s="2" t="n"/>
      <c r="C188" s="2" t="n"/>
      <c r="D188" s="2" t="n"/>
      <c r="E188" s="2" t="n"/>
      <c r="F188" s="2" t="n"/>
      <c r="G188" s="6" t="n"/>
      <c r="H188" s="6" t="n"/>
      <c r="I188" s="2">
        <f>IF(OR(E188="",G188="",H188=""),"",IF(E188="Short",G188-H188,H188-G188))</f>
        <v/>
      </c>
      <c r="J188" s="6">
        <f>IF(I188="","",I188*F188*Settings!$B$3)</f>
        <v/>
      </c>
      <c r="K188" s="6" t="n"/>
      <c r="L188" s="6">
        <f>IF(J188="","",J188-K188)</f>
        <v/>
      </c>
      <c r="M188" s="6">
        <f>IF(C188="","",N187)</f>
        <v/>
      </c>
      <c r="N188" s="6">
        <f>IF(L188="","",M188+L188)</f>
        <v/>
      </c>
      <c r="O188" s="6">
        <f>IF(N188="","",MAX(Settings!$B$7,N$2:N188))</f>
        <v/>
      </c>
      <c r="P188" s="6">
        <f>IF(N188="","",N188-O188)</f>
        <v/>
      </c>
      <c r="Q188" s="2">
        <f>IF(L188="","",IF(L188&gt;0,"Win",IF(L188&lt;0,"Loss","Flat")))</f>
        <v/>
      </c>
      <c r="R188" s="2" t="n"/>
    </row>
    <row r="189">
      <c r="A189" s="2">
        <f>IF(C189&lt;&gt;"",A188+1,"")</f>
        <v/>
      </c>
      <c r="B189" s="2" t="n"/>
      <c r="C189" s="2" t="n"/>
      <c r="D189" s="2" t="n"/>
      <c r="E189" s="2" t="n"/>
      <c r="F189" s="2" t="n"/>
      <c r="G189" s="6" t="n"/>
      <c r="H189" s="6" t="n"/>
      <c r="I189" s="2">
        <f>IF(OR(E189="",G189="",H189=""),"",IF(E189="Short",G189-H189,H189-G189))</f>
        <v/>
      </c>
      <c r="J189" s="6">
        <f>IF(I189="","",I189*F189*Settings!$B$3)</f>
        <v/>
      </c>
      <c r="K189" s="6" t="n"/>
      <c r="L189" s="6">
        <f>IF(J189="","",J189-K189)</f>
        <v/>
      </c>
      <c r="M189" s="6">
        <f>IF(C189="","",N188)</f>
        <v/>
      </c>
      <c r="N189" s="6">
        <f>IF(L189="","",M189+L189)</f>
        <v/>
      </c>
      <c r="O189" s="6">
        <f>IF(N189="","",MAX(Settings!$B$7,N$2:N189))</f>
        <v/>
      </c>
      <c r="P189" s="6">
        <f>IF(N189="","",N189-O189)</f>
        <v/>
      </c>
      <c r="Q189" s="2">
        <f>IF(L189="","",IF(L189&gt;0,"Win",IF(L189&lt;0,"Loss","Flat")))</f>
        <v/>
      </c>
      <c r="R189" s="2" t="n"/>
    </row>
    <row r="190">
      <c r="A190" s="2">
        <f>IF(C190&lt;&gt;"",A189+1,"")</f>
        <v/>
      </c>
      <c r="B190" s="2" t="n"/>
      <c r="C190" s="2" t="n"/>
      <c r="D190" s="2" t="n"/>
      <c r="E190" s="2" t="n"/>
      <c r="F190" s="2" t="n"/>
      <c r="G190" s="6" t="n"/>
      <c r="H190" s="6" t="n"/>
      <c r="I190" s="2">
        <f>IF(OR(E190="",G190="",H190=""),"",IF(E190="Short",G190-H190,H190-G190))</f>
        <v/>
      </c>
      <c r="J190" s="6">
        <f>IF(I190="","",I190*F190*Settings!$B$3)</f>
        <v/>
      </c>
      <c r="K190" s="6" t="n"/>
      <c r="L190" s="6">
        <f>IF(J190="","",J190-K190)</f>
        <v/>
      </c>
      <c r="M190" s="6">
        <f>IF(C190="","",N189)</f>
        <v/>
      </c>
      <c r="N190" s="6">
        <f>IF(L190="","",M190+L190)</f>
        <v/>
      </c>
      <c r="O190" s="6">
        <f>IF(N190="","",MAX(Settings!$B$7,N$2:N190))</f>
        <v/>
      </c>
      <c r="P190" s="6">
        <f>IF(N190="","",N190-O190)</f>
        <v/>
      </c>
      <c r="Q190" s="2">
        <f>IF(L190="","",IF(L190&gt;0,"Win",IF(L190&lt;0,"Loss","Flat")))</f>
        <v/>
      </c>
      <c r="R190" s="2" t="n"/>
    </row>
    <row r="191">
      <c r="A191" s="2">
        <f>IF(C191&lt;&gt;"",A190+1,"")</f>
        <v/>
      </c>
      <c r="B191" s="2" t="n"/>
      <c r="C191" s="2" t="n"/>
      <c r="D191" s="2" t="n"/>
      <c r="E191" s="2" t="n"/>
      <c r="F191" s="2" t="n"/>
      <c r="G191" s="6" t="n"/>
      <c r="H191" s="6" t="n"/>
      <c r="I191" s="2">
        <f>IF(OR(E191="",G191="",H191=""),"",IF(E191="Short",G191-H191,H191-G191))</f>
        <v/>
      </c>
      <c r="J191" s="6">
        <f>IF(I191="","",I191*F191*Settings!$B$3)</f>
        <v/>
      </c>
      <c r="K191" s="6" t="n"/>
      <c r="L191" s="6">
        <f>IF(J191="","",J191-K191)</f>
        <v/>
      </c>
      <c r="M191" s="6">
        <f>IF(C191="","",N190)</f>
        <v/>
      </c>
      <c r="N191" s="6">
        <f>IF(L191="","",M191+L191)</f>
        <v/>
      </c>
      <c r="O191" s="6">
        <f>IF(N191="","",MAX(Settings!$B$7,N$2:N191))</f>
        <v/>
      </c>
      <c r="P191" s="6">
        <f>IF(N191="","",N191-O191)</f>
        <v/>
      </c>
      <c r="Q191" s="2">
        <f>IF(L191="","",IF(L191&gt;0,"Win",IF(L191&lt;0,"Loss","Flat")))</f>
        <v/>
      </c>
      <c r="R191" s="2" t="n"/>
    </row>
    <row r="192">
      <c r="A192" s="2">
        <f>IF(C192&lt;&gt;"",A191+1,"")</f>
        <v/>
      </c>
      <c r="B192" s="2" t="n"/>
      <c r="C192" s="2" t="n"/>
      <c r="D192" s="2" t="n"/>
      <c r="E192" s="2" t="n"/>
      <c r="F192" s="2" t="n"/>
      <c r="G192" s="6" t="n"/>
      <c r="H192" s="6" t="n"/>
      <c r="I192" s="2">
        <f>IF(OR(E192="",G192="",H192=""),"",IF(E192="Short",G192-H192,H192-G192))</f>
        <v/>
      </c>
      <c r="J192" s="6">
        <f>IF(I192="","",I192*F192*Settings!$B$3)</f>
        <v/>
      </c>
      <c r="K192" s="6" t="n"/>
      <c r="L192" s="6">
        <f>IF(J192="","",J192-K192)</f>
        <v/>
      </c>
      <c r="M192" s="6">
        <f>IF(C192="","",N191)</f>
        <v/>
      </c>
      <c r="N192" s="6">
        <f>IF(L192="","",M192+L192)</f>
        <v/>
      </c>
      <c r="O192" s="6">
        <f>IF(N192="","",MAX(Settings!$B$7,N$2:N192))</f>
        <v/>
      </c>
      <c r="P192" s="6">
        <f>IF(N192="","",N192-O192)</f>
        <v/>
      </c>
      <c r="Q192" s="2">
        <f>IF(L192="","",IF(L192&gt;0,"Win",IF(L192&lt;0,"Loss","Flat")))</f>
        <v/>
      </c>
      <c r="R192" s="2" t="n"/>
    </row>
    <row r="193">
      <c r="A193" s="2">
        <f>IF(C193&lt;&gt;"",A192+1,"")</f>
        <v/>
      </c>
      <c r="B193" s="2" t="n"/>
      <c r="C193" s="2" t="n"/>
      <c r="D193" s="2" t="n"/>
      <c r="E193" s="2" t="n"/>
      <c r="F193" s="2" t="n"/>
      <c r="G193" s="6" t="n"/>
      <c r="H193" s="6" t="n"/>
      <c r="I193" s="2">
        <f>IF(OR(E193="",G193="",H193=""),"",IF(E193="Short",G193-H193,H193-G193))</f>
        <v/>
      </c>
      <c r="J193" s="6">
        <f>IF(I193="","",I193*F193*Settings!$B$3)</f>
        <v/>
      </c>
      <c r="K193" s="6" t="n"/>
      <c r="L193" s="6">
        <f>IF(J193="","",J193-K193)</f>
        <v/>
      </c>
      <c r="M193" s="6">
        <f>IF(C193="","",N192)</f>
        <v/>
      </c>
      <c r="N193" s="6">
        <f>IF(L193="","",M193+L193)</f>
        <v/>
      </c>
      <c r="O193" s="6">
        <f>IF(N193="","",MAX(Settings!$B$7,N$2:N193))</f>
        <v/>
      </c>
      <c r="P193" s="6">
        <f>IF(N193="","",N193-O193)</f>
        <v/>
      </c>
      <c r="Q193" s="2">
        <f>IF(L193="","",IF(L193&gt;0,"Win",IF(L193&lt;0,"Loss","Flat")))</f>
        <v/>
      </c>
      <c r="R193" s="2" t="n"/>
    </row>
    <row r="194">
      <c r="A194" s="2">
        <f>IF(C194&lt;&gt;"",A193+1,"")</f>
        <v/>
      </c>
      <c r="B194" s="2" t="n"/>
      <c r="C194" s="2" t="n"/>
      <c r="D194" s="2" t="n"/>
      <c r="E194" s="2" t="n"/>
      <c r="F194" s="2" t="n"/>
      <c r="G194" s="6" t="n"/>
      <c r="H194" s="6" t="n"/>
      <c r="I194" s="2">
        <f>IF(OR(E194="",G194="",H194=""),"",IF(E194="Short",G194-H194,H194-G194))</f>
        <v/>
      </c>
      <c r="J194" s="6">
        <f>IF(I194="","",I194*F194*Settings!$B$3)</f>
        <v/>
      </c>
      <c r="K194" s="6" t="n"/>
      <c r="L194" s="6">
        <f>IF(J194="","",J194-K194)</f>
        <v/>
      </c>
      <c r="M194" s="6">
        <f>IF(C194="","",N193)</f>
        <v/>
      </c>
      <c r="N194" s="6">
        <f>IF(L194="","",M194+L194)</f>
        <v/>
      </c>
      <c r="O194" s="6">
        <f>IF(N194="","",MAX(Settings!$B$7,N$2:N194))</f>
        <v/>
      </c>
      <c r="P194" s="6">
        <f>IF(N194="","",N194-O194)</f>
        <v/>
      </c>
      <c r="Q194" s="2">
        <f>IF(L194="","",IF(L194&gt;0,"Win",IF(L194&lt;0,"Loss","Flat")))</f>
        <v/>
      </c>
      <c r="R194" s="2" t="n"/>
    </row>
    <row r="195">
      <c r="A195" s="2">
        <f>IF(C195&lt;&gt;"",A194+1,"")</f>
        <v/>
      </c>
      <c r="B195" s="2" t="n"/>
      <c r="C195" s="2" t="n"/>
      <c r="D195" s="2" t="n"/>
      <c r="E195" s="2" t="n"/>
      <c r="F195" s="2" t="n"/>
      <c r="G195" s="6" t="n"/>
      <c r="H195" s="6" t="n"/>
      <c r="I195" s="2">
        <f>IF(OR(E195="",G195="",H195=""),"",IF(E195="Short",G195-H195,H195-G195))</f>
        <v/>
      </c>
      <c r="J195" s="6">
        <f>IF(I195="","",I195*F195*Settings!$B$3)</f>
        <v/>
      </c>
      <c r="K195" s="6" t="n"/>
      <c r="L195" s="6">
        <f>IF(J195="","",J195-K195)</f>
        <v/>
      </c>
      <c r="M195" s="6">
        <f>IF(C195="","",N194)</f>
        <v/>
      </c>
      <c r="N195" s="6">
        <f>IF(L195="","",M195+L195)</f>
        <v/>
      </c>
      <c r="O195" s="6">
        <f>IF(N195="","",MAX(Settings!$B$7,N$2:N195))</f>
        <v/>
      </c>
      <c r="P195" s="6">
        <f>IF(N195="","",N195-O195)</f>
        <v/>
      </c>
      <c r="Q195" s="2">
        <f>IF(L195="","",IF(L195&gt;0,"Win",IF(L195&lt;0,"Loss","Flat")))</f>
        <v/>
      </c>
      <c r="R195" s="2" t="n"/>
    </row>
    <row r="196">
      <c r="A196" s="2">
        <f>IF(C196&lt;&gt;"",A195+1,"")</f>
        <v/>
      </c>
      <c r="B196" s="2" t="n"/>
      <c r="C196" s="2" t="n"/>
      <c r="D196" s="2" t="n"/>
      <c r="E196" s="2" t="n"/>
      <c r="F196" s="2" t="n"/>
      <c r="G196" s="6" t="n"/>
      <c r="H196" s="6" t="n"/>
      <c r="I196" s="2">
        <f>IF(OR(E196="",G196="",H196=""),"",IF(E196="Short",G196-H196,H196-G196))</f>
        <v/>
      </c>
      <c r="J196" s="6">
        <f>IF(I196="","",I196*F196*Settings!$B$3)</f>
        <v/>
      </c>
      <c r="K196" s="6" t="n"/>
      <c r="L196" s="6">
        <f>IF(J196="","",J196-K196)</f>
        <v/>
      </c>
      <c r="M196" s="6">
        <f>IF(C196="","",N195)</f>
        <v/>
      </c>
      <c r="N196" s="6">
        <f>IF(L196="","",M196+L196)</f>
        <v/>
      </c>
      <c r="O196" s="6">
        <f>IF(N196="","",MAX(Settings!$B$7,N$2:N196))</f>
        <v/>
      </c>
      <c r="P196" s="6">
        <f>IF(N196="","",N196-O196)</f>
        <v/>
      </c>
      <c r="Q196" s="2">
        <f>IF(L196="","",IF(L196&gt;0,"Win",IF(L196&lt;0,"Loss","Flat")))</f>
        <v/>
      </c>
      <c r="R196" s="2" t="n"/>
    </row>
    <row r="197">
      <c r="A197" s="2">
        <f>IF(C197&lt;&gt;"",A196+1,"")</f>
        <v/>
      </c>
      <c r="B197" s="2" t="n"/>
      <c r="C197" s="2" t="n"/>
      <c r="D197" s="2" t="n"/>
      <c r="E197" s="2" t="n"/>
      <c r="F197" s="2" t="n"/>
      <c r="G197" s="6" t="n"/>
      <c r="H197" s="6" t="n"/>
      <c r="I197" s="2">
        <f>IF(OR(E197="",G197="",H197=""),"",IF(E197="Short",G197-H197,H197-G197))</f>
        <v/>
      </c>
      <c r="J197" s="6">
        <f>IF(I197="","",I197*F197*Settings!$B$3)</f>
        <v/>
      </c>
      <c r="K197" s="6" t="n"/>
      <c r="L197" s="6">
        <f>IF(J197="","",J197-K197)</f>
        <v/>
      </c>
      <c r="M197" s="6">
        <f>IF(C197="","",N196)</f>
        <v/>
      </c>
      <c r="N197" s="6">
        <f>IF(L197="","",M197+L197)</f>
        <v/>
      </c>
      <c r="O197" s="6">
        <f>IF(N197="","",MAX(Settings!$B$7,N$2:N197))</f>
        <v/>
      </c>
      <c r="P197" s="6">
        <f>IF(N197="","",N197-O197)</f>
        <v/>
      </c>
      <c r="Q197" s="2">
        <f>IF(L197="","",IF(L197&gt;0,"Win",IF(L197&lt;0,"Loss","Flat")))</f>
        <v/>
      </c>
      <c r="R197" s="2" t="n"/>
    </row>
    <row r="198">
      <c r="A198" s="2">
        <f>IF(C198&lt;&gt;"",A197+1,"")</f>
        <v/>
      </c>
      <c r="B198" s="2" t="n"/>
      <c r="C198" s="2" t="n"/>
      <c r="D198" s="2" t="n"/>
      <c r="E198" s="2" t="n"/>
      <c r="F198" s="2" t="n"/>
      <c r="G198" s="6" t="n"/>
      <c r="H198" s="6" t="n"/>
      <c r="I198" s="2">
        <f>IF(OR(E198="",G198="",H198=""),"",IF(E198="Short",G198-H198,H198-G198))</f>
        <v/>
      </c>
      <c r="J198" s="6">
        <f>IF(I198="","",I198*F198*Settings!$B$3)</f>
        <v/>
      </c>
      <c r="K198" s="6" t="n"/>
      <c r="L198" s="6">
        <f>IF(J198="","",J198-K198)</f>
        <v/>
      </c>
      <c r="M198" s="6">
        <f>IF(C198="","",N197)</f>
        <v/>
      </c>
      <c r="N198" s="6">
        <f>IF(L198="","",M198+L198)</f>
        <v/>
      </c>
      <c r="O198" s="6">
        <f>IF(N198="","",MAX(Settings!$B$7,N$2:N198))</f>
        <v/>
      </c>
      <c r="P198" s="6">
        <f>IF(N198="","",N198-O198)</f>
        <v/>
      </c>
      <c r="Q198" s="2">
        <f>IF(L198="","",IF(L198&gt;0,"Win",IF(L198&lt;0,"Loss","Flat")))</f>
        <v/>
      </c>
      <c r="R198" s="2" t="n"/>
    </row>
    <row r="199">
      <c r="A199" s="2">
        <f>IF(C199&lt;&gt;"",A198+1,"")</f>
        <v/>
      </c>
      <c r="B199" s="2" t="n"/>
      <c r="C199" s="2" t="n"/>
      <c r="D199" s="2" t="n"/>
      <c r="E199" s="2" t="n"/>
      <c r="F199" s="2" t="n"/>
      <c r="G199" s="6" t="n"/>
      <c r="H199" s="6" t="n"/>
      <c r="I199" s="2">
        <f>IF(OR(E199="",G199="",H199=""),"",IF(E199="Short",G199-H199,H199-G199))</f>
        <v/>
      </c>
      <c r="J199" s="6">
        <f>IF(I199="","",I199*F199*Settings!$B$3)</f>
        <v/>
      </c>
      <c r="K199" s="6" t="n"/>
      <c r="L199" s="6">
        <f>IF(J199="","",J199-K199)</f>
        <v/>
      </c>
      <c r="M199" s="6">
        <f>IF(C199="","",N198)</f>
        <v/>
      </c>
      <c r="N199" s="6">
        <f>IF(L199="","",M199+L199)</f>
        <v/>
      </c>
      <c r="O199" s="6">
        <f>IF(N199="","",MAX(Settings!$B$7,N$2:N199))</f>
        <v/>
      </c>
      <c r="P199" s="6">
        <f>IF(N199="","",N199-O199)</f>
        <v/>
      </c>
      <c r="Q199" s="2">
        <f>IF(L199="","",IF(L199&gt;0,"Win",IF(L199&lt;0,"Loss","Flat")))</f>
        <v/>
      </c>
      <c r="R199" s="2" t="n"/>
    </row>
    <row r="200">
      <c r="A200" s="2">
        <f>IF(C200&lt;&gt;"",A199+1,"")</f>
        <v/>
      </c>
      <c r="B200" s="2" t="n"/>
      <c r="C200" s="2" t="n"/>
      <c r="D200" s="2" t="n"/>
      <c r="E200" s="2" t="n"/>
      <c r="F200" s="2" t="n"/>
      <c r="G200" s="6" t="n"/>
      <c r="H200" s="6" t="n"/>
      <c r="I200" s="2">
        <f>IF(OR(E200="",G200="",H200=""),"",IF(E200="Short",G200-H200,H200-G200))</f>
        <v/>
      </c>
      <c r="J200" s="6">
        <f>IF(I200="","",I200*F200*Settings!$B$3)</f>
        <v/>
      </c>
      <c r="K200" s="6" t="n"/>
      <c r="L200" s="6">
        <f>IF(J200="","",J200-K200)</f>
        <v/>
      </c>
      <c r="M200" s="6">
        <f>IF(C200="","",N199)</f>
        <v/>
      </c>
      <c r="N200" s="6">
        <f>IF(L200="","",M200+L200)</f>
        <v/>
      </c>
      <c r="O200" s="6">
        <f>IF(N200="","",MAX(Settings!$B$7,N$2:N200))</f>
        <v/>
      </c>
      <c r="P200" s="6">
        <f>IF(N200="","",N200-O200)</f>
        <v/>
      </c>
      <c r="Q200" s="2">
        <f>IF(L200="","",IF(L200&gt;0,"Win",IF(L200&lt;0,"Loss","Flat")))</f>
        <v/>
      </c>
      <c r="R200" s="2" t="n"/>
    </row>
    <row r="201">
      <c r="A201" s="2">
        <f>IF(C201&lt;&gt;"",A200+1,"")</f>
        <v/>
      </c>
      <c r="B201" s="2" t="n"/>
      <c r="C201" s="2" t="n"/>
      <c r="D201" s="2" t="n"/>
      <c r="E201" s="2" t="n"/>
      <c r="F201" s="2" t="n"/>
      <c r="G201" s="6" t="n"/>
      <c r="H201" s="6" t="n"/>
      <c r="I201" s="2">
        <f>IF(OR(E201="",G201="",H201=""),"",IF(E201="Short",G201-H201,H201-G201))</f>
        <v/>
      </c>
      <c r="J201" s="6">
        <f>IF(I201="","",I201*F201*Settings!$B$3)</f>
        <v/>
      </c>
      <c r="K201" s="6" t="n"/>
      <c r="L201" s="6">
        <f>IF(J201="","",J201-K201)</f>
        <v/>
      </c>
      <c r="M201" s="6">
        <f>IF(C201="","",N200)</f>
        <v/>
      </c>
      <c r="N201" s="6">
        <f>IF(L201="","",M201+L201)</f>
        <v/>
      </c>
      <c r="O201" s="6">
        <f>IF(N201="","",MAX(Settings!$B$7,N$2:N201))</f>
        <v/>
      </c>
      <c r="P201" s="6">
        <f>IF(N201="","",N201-O201)</f>
        <v/>
      </c>
      <c r="Q201" s="2">
        <f>IF(L201="","",IF(L201&gt;0,"Win",IF(L201&lt;0,"Loss","Flat")))</f>
        <v/>
      </c>
      <c r="R201" s="2" t="n"/>
    </row>
    <row r="202">
      <c r="A202" s="2">
        <f>IF(C202&lt;&gt;"",A201+1,"")</f>
        <v/>
      </c>
      <c r="B202" s="2" t="n"/>
      <c r="C202" s="2" t="n"/>
      <c r="D202" s="2" t="n"/>
      <c r="E202" s="2" t="n"/>
      <c r="F202" s="2" t="n"/>
      <c r="G202" s="6" t="n"/>
      <c r="H202" s="6" t="n"/>
      <c r="I202" s="2">
        <f>IF(OR(E202="",G202="",H202=""),"",IF(E202="Short",G202-H202,H202-G202))</f>
        <v/>
      </c>
      <c r="J202" s="6">
        <f>IF(I202="","",I202*F202*Settings!$B$3)</f>
        <v/>
      </c>
      <c r="K202" s="6" t="n"/>
      <c r="L202" s="6">
        <f>IF(J202="","",J202-K202)</f>
        <v/>
      </c>
      <c r="M202" s="6">
        <f>IF(C202="","",N201)</f>
        <v/>
      </c>
      <c r="N202" s="6">
        <f>IF(L202="","",M202+L202)</f>
        <v/>
      </c>
      <c r="O202" s="6">
        <f>IF(N202="","",MAX(Settings!$B$7,N$2:N202))</f>
        <v/>
      </c>
      <c r="P202" s="6">
        <f>IF(N202="","",N202-O202)</f>
        <v/>
      </c>
      <c r="Q202" s="2">
        <f>IF(L202="","",IF(L202&gt;0,"Win",IF(L202&lt;0,"Loss","Flat")))</f>
        <v/>
      </c>
      <c r="R202" s="2" t="n"/>
    </row>
    <row r="203">
      <c r="A203" s="2">
        <f>IF(C203&lt;&gt;"",A202+1,"")</f>
        <v/>
      </c>
      <c r="B203" s="2" t="n"/>
      <c r="C203" s="2" t="n"/>
      <c r="D203" s="2" t="n"/>
      <c r="E203" s="2" t="n"/>
      <c r="F203" s="2" t="n"/>
      <c r="G203" s="6" t="n"/>
      <c r="H203" s="6" t="n"/>
      <c r="I203" s="2">
        <f>IF(OR(E203="",G203="",H203=""),"",IF(E203="Short",G203-H203,H203-G203))</f>
        <v/>
      </c>
      <c r="J203" s="6">
        <f>IF(I203="","",I203*F203*Settings!$B$3)</f>
        <v/>
      </c>
      <c r="K203" s="6" t="n"/>
      <c r="L203" s="6">
        <f>IF(J203="","",J203-K203)</f>
        <v/>
      </c>
      <c r="M203" s="6">
        <f>IF(C203="","",N202)</f>
        <v/>
      </c>
      <c r="N203" s="6">
        <f>IF(L203="","",M203+L203)</f>
        <v/>
      </c>
      <c r="O203" s="6">
        <f>IF(N203="","",MAX(Settings!$B$7,N$2:N203))</f>
        <v/>
      </c>
      <c r="P203" s="6">
        <f>IF(N203="","",N203-O203)</f>
        <v/>
      </c>
      <c r="Q203" s="2">
        <f>IF(L203="","",IF(L203&gt;0,"Win",IF(L203&lt;0,"Loss","Flat")))</f>
        <v/>
      </c>
      <c r="R203" s="2" t="n"/>
    </row>
    <row r="204">
      <c r="A204" s="2">
        <f>IF(C204&lt;&gt;"",A203+1,"")</f>
        <v/>
      </c>
      <c r="B204" s="2" t="n"/>
      <c r="C204" s="2" t="n"/>
      <c r="D204" s="2" t="n"/>
      <c r="E204" s="2" t="n"/>
      <c r="F204" s="2" t="n"/>
      <c r="G204" s="6" t="n"/>
      <c r="H204" s="6" t="n"/>
      <c r="I204" s="2">
        <f>IF(OR(E204="",G204="",H204=""),"",IF(E204="Short",G204-H204,H204-G204))</f>
        <v/>
      </c>
      <c r="J204" s="6">
        <f>IF(I204="","",I204*F204*Settings!$B$3)</f>
        <v/>
      </c>
      <c r="K204" s="6" t="n"/>
      <c r="L204" s="6">
        <f>IF(J204="","",J204-K204)</f>
        <v/>
      </c>
      <c r="M204" s="6">
        <f>IF(C204="","",N203)</f>
        <v/>
      </c>
      <c r="N204" s="6">
        <f>IF(L204="","",M204+L204)</f>
        <v/>
      </c>
      <c r="O204" s="6">
        <f>IF(N204="","",MAX(Settings!$B$7,N$2:N204))</f>
        <v/>
      </c>
      <c r="P204" s="6">
        <f>IF(N204="","",N204-O204)</f>
        <v/>
      </c>
      <c r="Q204" s="2">
        <f>IF(L204="","",IF(L204&gt;0,"Win",IF(L204&lt;0,"Loss","Flat")))</f>
        <v/>
      </c>
      <c r="R204" s="2" t="n"/>
    </row>
    <row r="205">
      <c r="A205" s="2">
        <f>IF(C205&lt;&gt;"",A204+1,"")</f>
        <v/>
      </c>
      <c r="B205" s="2" t="n"/>
      <c r="C205" s="2" t="n"/>
      <c r="D205" s="2" t="n"/>
      <c r="E205" s="2" t="n"/>
      <c r="F205" s="2" t="n"/>
      <c r="G205" s="6" t="n"/>
      <c r="H205" s="6" t="n"/>
      <c r="I205" s="2">
        <f>IF(OR(E205="",G205="",H205=""),"",IF(E205="Short",G205-H205,H205-G205))</f>
        <v/>
      </c>
      <c r="J205" s="6">
        <f>IF(I205="","",I205*F205*Settings!$B$3)</f>
        <v/>
      </c>
      <c r="K205" s="6" t="n"/>
      <c r="L205" s="6">
        <f>IF(J205="","",J205-K205)</f>
        <v/>
      </c>
      <c r="M205" s="6">
        <f>IF(C205="","",N204)</f>
        <v/>
      </c>
      <c r="N205" s="6">
        <f>IF(L205="","",M205+L205)</f>
        <v/>
      </c>
      <c r="O205" s="6">
        <f>IF(N205="","",MAX(Settings!$B$7,N$2:N205))</f>
        <v/>
      </c>
      <c r="P205" s="6">
        <f>IF(N205="","",N205-O205)</f>
        <v/>
      </c>
      <c r="Q205" s="2">
        <f>IF(L205="","",IF(L205&gt;0,"Win",IF(L205&lt;0,"Loss","Flat")))</f>
        <v/>
      </c>
      <c r="R205" s="2" t="n"/>
    </row>
    <row r="206">
      <c r="A206" s="2">
        <f>IF(C206&lt;&gt;"",A205+1,"")</f>
        <v/>
      </c>
      <c r="B206" s="2" t="n"/>
      <c r="C206" s="2" t="n"/>
      <c r="D206" s="2" t="n"/>
      <c r="E206" s="2" t="n"/>
      <c r="F206" s="2" t="n"/>
      <c r="G206" s="6" t="n"/>
      <c r="H206" s="6" t="n"/>
      <c r="I206" s="2">
        <f>IF(OR(E206="",G206="",H206=""),"",IF(E206="Short",G206-H206,H206-G206))</f>
        <v/>
      </c>
      <c r="J206" s="6">
        <f>IF(I206="","",I206*F206*Settings!$B$3)</f>
        <v/>
      </c>
      <c r="K206" s="6" t="n"/>
      <c r="L206" s="6">
        <f>IF(J206="","",J206-K206)</f>
        <v/>
      </c>
      <c r="M206" s="6">
        <f>IF(C206="","",N205)</f>
        <v/>
      </c>
      <c r="N206" s="6">
        <f>IF(L206="","",M206+L206)</f>
        <v/>
      </c>
      <c r="O206" s="6">
        <f>IF(N206="","",MAX(Settings!$B$7,N$2:N206))</f>
        <v/>
      </c>
      <c r="P206" s="6">
        <f>IF(N206="","",N206-O206)</f>
        <v/>
      </c>
      <c r="Q206" s="2">
        <f>IF(L206="","",IF(L206&gt;0,"Win",IF(L206&lt;0,"Loss","Flat")))</f>
        <v/>
      </c>
      <c r="R206" s="2" t="n"/>
    </row>
    <row r="207">
      <c r="A207" s="2">
        <f>IF(C207&lt;&gt;"",A206+1,"")</f>
        <v/>
      </c>
      <c r="B207" s="2" t="n"/>
      <c r="C207" s="2" t="n"/>
      <c r="D207" s="2" t="n"/>
      <c r="E207" s="2" t="n"/>
      <c r="F207" s="2" t="n"/>
      <c r="G207" s="6" t="n"/>
      <c r="H207" s="6" t="n"/>
      <c r="I207" s="2">
        <f>IF(OR(E207="",G207="",H207=""),"",IF(E207="Short",G207-H207,H207-G207))</f>
        <v/>
      </c>
      <c r="J207" s="6">
        <f>IF(I207="","",I207*F207*Settings!$B$3)</f>
        <v/>
      </c>
      <c r="K207" s="6" t="n"/>
      <c r="L207" s="6">
        <f>IF(J207="","",J207-K207)</f>
        <v/>
      </c>
      <c r="M207" s="6">
        <f>IF(C207="","",N206)</f>
        <v/>
      </c>
      <c r="N207" s="6">
        <f>IF(L207="","",M207+L207)</f>
        <v/>
      </c>
      <c r="O207" s="6">
        <f>IF(N207="","",MAX(Settings!$B$7,N$2:N207))</f>
        <v/>
      </c>
      <c r="P207" s="6">
        <f>IF(N207="","",N207-O207)</f>
        <v/>
      </c>
      <c r="Q207" s="2">
        <f>IF(L207="","",IF(L207&gt;0,"Win",IF(L207&lt;0,"Loss","Flat")))</f>
        <v/>
      </c>
      <c r="R207" s="2" t="n"/>
    </row>
    <row r="208">
      <c r="A208" s="2">
        <f>IF(C208&lt;&gt;"",A207+1,"")</f>
        <v/>
      </c>
      <c r="B208" s="2" t="n"/>
      <c r="C208" s="2" t="n"/>
      <c r="D208" s="2" t="n"/>
      <c r="E208" s="2" t="n"/>
      <c r="F208" s="2" t="n"/>
      <c r="G208" s="6" t="n"/>
      <c r="H208" s="6" t="n"/>
      <c r="I208" s="2">
        <f>IF(OR(E208="",G208="",H208=""),"",IF(E208="Short",G208-H208,H208-G208))</f>
        <v/>
      </c>
      <c r="J208" s="6">
        <f>IF(I208="","",I208*F208*Settings!$B$3)</f>
        <v/>
      </c>
      <c r="K208" s="6" t="n"/>
      <c r="L208" s="6">
        <f>IF(J208="","",J208-K208)</f>
        <v/>
      </c>
      <c r="M208" s="6">
        <f>IF(C208="","",N207)</f>
        <v/>
      </c>
      <c r="N208" s="6">
        <f>IF(L208="","",M208+L208)</f>
        <v/>
      </c>
      <c r="O208" s="6">
        <f>IF(N208="","",MAX(Settings!$B$7,N$2:N208))</f>
        <v/>
      </c>
      <c r="P208" s="6">
        <f>IF(N208="","",N208-O208)</f>
        <v/>
      </c>
      <c r="Q208" s="2">
        <f>IF(L208="","",IF(L208&gt;0,"Win",IF(L208&lt;0,"Loss","Flat")))</f>
        <v/>
      </c>
      <c r="R208" s="2" t="n"/>
    </row>
    <row r="209">
      <c r="A209" s="2">
        <f>IF(C209&lt;&gt;"",A208+1,"")</f>
        <v/>
      </c>
      <c r="B209" s="2" t="n"/>
      <c r="C209" s="2" t="n"/>
      <c r="D209" s="2" t="n"/>
      <c r="E209" s="2" t="n"/>
      <c r="F209" s="2" t="n"/>
      <c r="G209" s="6" t="n"/>
      <c r="H209" s="6" t="n"/>
      <c r="I209" s="2">
        <f>IF(OR(E209="",G209="",H209=""),"",IF(E209="Short",G209-H209,H209-G209))</f>
        <v/>
      </c>
      <c r="J209" s="6">
        <f>IF(I209="","",I209*F209*Settings!$B$3)</f>
        <v/>
      </c>
      <c r="K209" s="6" t="n"/>
      <c r="L209" s="6">
        <f>IF(J209="","",J209-K209)</f>
        <v/>
      </c>
      <c r="M209" s="6">
        <f>IF(C209="","",N208)</f>
        <v/>
      </c>
      <c r="N209" s="6">
        <f>IF(L209="","",M209+L209)</f>
        <v/>
      </c>
      <c r="O209" s="6">
        <f>IF(N209="","",MAX(Settings!$B$7,N$2:N209))</f>
        <v/>
      </c>
      <c r="P209" s="6">
        <f>IF(N209="","",N209-O209)</f>
        <v/>
      </c>
      <c r="Q209" s="2">
        <f>IF(L209="","",IF(L209&gt;0,"Win",IF(L209&lt;0,"Loss","Flat")))</f>
        <v/>
      </c>
      <c r="R209" s="2" t="n"/>
    </row>
    <row r="210">
      <c r="A210" s="2">
        <f>IF(C210&lt;&gt;"",A209+1,"")</f>
        <v/>
      </c>
      <c r="B210" s="2" t="n"/>
      <c r="C210" s="2" t="n"/>
      <c r="D210" s="2" t="n"/>
      <c r="E210" s="2" t="n"/>
      <c r="F210" s="2" t="n"/>
      <c r="G210" s="6" t="n"/>
      <c r="H210" s="6" t="n"/>
      <c r="I210" s="2">
        <f>IF(OR(E210="",G210="",H210=""),"",IF(E210="Short",G210-H210,H210-G210))</f>
        <v/>
      </c>
      <c r="J210" s="6">
        <f>IF(I210="","",I210*F210*Settings!$B$3)</f>
        <v/>
      </c>
      <c r="K210" s="6" t="n"/>
      <c r="L210" s="6">
        <f>IF(J210="","",J210-K210)</f>
        <v/>
      </c>
      <c r="M210" s="6">
        <f>IF(C210="","",N209)</f>
        <v/>
      </c>
      <c r="N210" s="6">
        <f>IF(L210="","",M210+L210)</f>
        <v/>
      </c>
      <c r="O210" s="6">
        <f>IF(N210="","",MAX(Settings!$B$7,N$2:N210))</f>
        <v/>
      </c>
      <c r="P210" s="6">
        <f>IF(N210="","",N210-O210)</f>
        <v/>
      </c>
      <c r="Q210" s="2">
        <f>IF(L210="","",IF(L210&gt;0,"Win",IF(L210&lt;0,"Loss","Flat")))</f>
        <v/>
      </c>
      <c r="R210" s="2" t="n"/>
    </row>
    <row r="211">
      <c r="A211" s="2">
        <f>IF(C211&lt;&gt;"",A210+1,"")</f>
        <v/>
      </c>
      <c r="B211" s="2" t="n"/>
      <c r="C211" s="2" t="n"/>
      <c r="D211" s="2" t="n"/>
      <c r="E211" s="2" t="n"/>
      <c r="F211" s="2" t="n"/>
      <c r="G211" s="6" t="n"/>
      <c r="H211" s="6" t="n"/>
      <c r="I211" s="2">
        <f>IF(OR(E211="",G211="",H211=""),"",IF(E211="Short",G211-H211,H211-G211))</f>
        <v/>
      </c>
      <c r="J211" s="6">
        <f>IF(I211="","",I211*F211*Settings!$B$3)</f>
        <v/>
      </c>
      <c r="K211" s="6" t="n"/>
      <c r="L211" s="6">
        <f>IF(J211="","",J211-K211)</f>
        <v/>
      </c>
      <c r="M211" s="6">
        <f>IF(C211="","",N210)</f>
        <v/>
      </c>
      <c r="N211" s="6">
        <f>IF(L211="","",M211+L211)</f>
        <v/>
      </c>
      <c r="O211" s="6">
        <f>IF(N211="","",MAX(Settings!$B$7,N$2:N211))</f>
        <v/>
      </c>
      <c r="P211" s="6">
        <f>IF(N211="","",N211-O211)</f>
        <v/>
      </c>
      <c r="Q211" s="2">
        <f>IF(L211="","",IF(L211&gt;0,"Win",IF(L211&lt;0,"Loss","Flat")))</f>
        <v/>
      </c>
      <c r="R211" s="2" t="n"/>
    </row>
    <row r="212">
      <c r="A212" s="2">
        <f>IF(C212&lt;&gt;"",A211+1,"")</f>
        <v/>
      </c>
      <c r="B212" s="2" t="n"/>
      <c r="C212" s="2" t="n"/>
      <c r="D212" s="2" t="n"/>
      <c r="E212" s="2" t="n"/>
      <c r="F212" s="2" t="n"/>
      <c r="G212" s="6" t="n"/>
      <c r="H212" s="6" t="n"/>
      <c r="I212" s="2">
        <f>IF(OR(E212="",G212="",H212=""),"",IF(E212="Short",G212-H212,H212-G212))</f>
        <v/>
      </c>
      <c r="J212" s="6">
        <f>IF(I212="","",I212*F212*Settings!$B$3)</f>
        <v/>
      </c>
      <c r="K212" s="6" t="n"/>
      <c r="L212" s="6">
        <f>IF(J212="","",J212-K212)</f>
        <v/>
      </c>
      <c r="M212" s="6">
        <f>IF(C212="","",N211)</f>
        <v/>
      </c>
      <c r="N212" s="6">
        <f>IF(L212="","",M212+L212)</f>
        <v/>
      </c>
      <c r="O212" s="6">
        <f>IF(N212="","",MAX(Settings!$B$7,N$2:N212))</f>
        <v/>
      </c>
      <c r="P212" s="6">
        <f>IF(N212="","",N212-O212)</f>
        <v/>
      </c>
      <c r="Q212" s="2">
        <f>IF(L212="","",IF(L212&gt;0,"Win",IF(L212&lt;0,"Loss","Flat")))</f>
        <v/>
      </c>
      <c r="R212" s="2" t="n"/>
    </row>
    <row r="213">
      <c r="A213" s="2">
        <f>IF(C213&lt;&gt;"",A212+1,"")</f>
        <v/>
      </c>
      <c r="B213" s="2" t="n"/>
      <c r="C213" s="2" t="n"/>
      <c r="D213" s="2" t="n"/>
      <c r="E213" s="2" t="n"/>
      <c r="F213" s="2" t="n"/>
      <c r="G213" s="6" t="n"/>
      <c r="H213" s="6" t="n"/>
      <c r="I213" s="2">
        <f>IF(OR(E213="",G213="",H213=""),"",IF(E213="Short",G213-H213,H213-G213))</f>
        <v/>
      </c>
      <c r="J213" s="6">
        <f>IF(I213="","",I213*F213*Settings!$B$3)</f>
        <v/>
      </c>
      <c r="K213" s="6" t="n"/>
      <c r="L213" s="6">
        <f>IF(J213="","",J213-K213)</f>
        <v/>
      </c>
      <c r="M213" s="6">
        <f>IF(C213="","",N212)</f>
        <v/>
      </c>
      <c r="N213" s="6">
        <f>IF(L213="","",M213+L213)</f>
        <v/>
      </c>
      <c r="O213" s="6">
        <f>IF(N213="","",MAX(Settings!$B$7,N$2:N213))</f>
        <v/>
      </c>
      <c r="P213" s="6">
        <f>IF(N213="","",N213-O213)</f>
        <v/>
      </c>
      <c r="Q213" s="2">
        <f>IF(L213="","",IF(L213&gt;0,"Win",IF(L213&lt;0,"Loss","Flat")))</f>
        <v/>
      </c>
      <c r="R213" s="2" t="n"/>
    </row>
    <row r="214">
      <c r="A214" s="2">
        <f>IF(C214&lt;&gt;"",A213+1,"")</f>
        <v/>
      </c>
      <c r="B214" s="2" t="n"/>
      <c r="C214" s="2" t="n"/>
      <c r="D214" s="2" t="n"/>
      <c r="E214" s="2" t="n"/>
      <c r="F214" s="2" t="n"/>
      <c r="G214" s="6" t="n"/>
      <c r="H214" s="6" t="n"/>
      <c r="I214" s="2">
        <f>IF(OR(E214="",G214="",H214=""),"",IF(E214="Short",G214-H214,H214-G214))</f>
        <v/>
      </c>
      <c r="J214" s="6">
        <f>IF(I214="","",I214*F214*Settings!$B$3)</f>
        <v/>
      </c>
      <c r="K214" s="6" t="n"/>
      <c r="L214" s="6">
        <f>IF(J214="","",J214-K214)</f>
        <v/>
      </c>
      <c r="M214" s="6">
        <f>IF(C214="","",N213)</f>
        <v/>
      </c>
      <c r="N214" s="6">
        <f>IF(L214="","",M214+L214)</f>
        <v/>
      </c>
      <c r="O214" s="6">
        <f>IF(N214="","",MAX(Settings!$B$7,N$2:N214))</f>
        <v/>
      </c>
      <c r="P214" s="6">
        <f>IF(N214="","",N214-O214)</f>
        <v/>
      </c>
      <c r="Q214" s="2">
        <f>IF(L214="","",IF(L214&gt;0,"Win",IF(L214&lt;0,"Loss","Flat")))</f>
        <v/>
      </c>
      <c r="R214" s="2" t="n"/>
    </row>
    <row r="215">
      <c r="A215" s="2">
        <f>IF(C215&lt;&gt;"",A214+1,"")</f>
        <v/>
      </c>
      <c r="B215" s="2" t="n"/>
      <c r="C215" s="2" t="n"/>
      <c r="D215" s="2" t="n"/>
      <c r="E215" s="2" t="n"/>
      <c r="F215" s="2" t="n"/>
      <c r="G215" s="6" t="n"/>
      <c r="H215" s="6" t="n"/>
      <c r="I215" s="2">
        <f>IF(OR(E215="",G215="",H215=""),"",IF(E215="Short",G215-H215,H215-G215))</f>
        <v/>
      </c>
      <c r="J215" s="6">
        <f>IF(I215="","",I215*F215*Settings!$B$3)</f>
        <v/>
      </c>
      <c r="K215" s="6" t="n"/>
      <c r="L215" s="6">
        <f>IF(J215="","",J215-K215)</f>
        <v/>
      </c>
      <c r="M215" s="6">
        <f>IF(C215="","",N214)</f>
        <v/>
      </c>
      <c r="N215" s="6">
        <f>IF(L215="","",M215+L215)</f>
        <v/>
      </c>
      <c r="O215" s="6">
        <f>IF(N215="","",MAX(Settings!$B$7,N$2:N215))</f>
        <v/>
      </c>
      <c r="P215" s="6">
        <f>IF(N215="","",N215-O215)</f>
        <v/>
      </c>
      <c r="Q215" s="2">
        <f>IF(L215="","",IF(L215&gt;0,"Win",IF(L215&lt;0,"Loss","Flat")))</f>
        <v/>
      </c>
      <c r="R215" s="2" t="n"/>
    </row>
    <row r="216">
      <c r="A216" s="2">
        <f>IF(C216&lt;&gt;"",A215+1,"")</f>
        <v/>
      </c>
      <c r="B216" s="2" t="n"/>
      <c r="C216" s="2" t="n"/>
      <c r="D216" s="2" t="n"/>
      <c r="E216" s="2" t="n"/>
      <c r="F216" s="2" t="n"/>
      <c r="G216" s="6" t="n"/>
      <c r="H216" s="6" t="n"/>
      <c r="I216" s="2">
        <f>IF(OR(E216="",G216="",H216=""),"",IF(E216="Short",G216-H216,H216-G216))</f>
        <v/>
      </c>
      <c r="J216" s="6">
        <f>IF(I216="","",I216*F216*Settings!$B$3)</f>
        <v/>
      </c>
      <c r="K216" s="6" t="n"/>
      <c r="L216" s="6">
        <f>IF(J216="","",J216-K216)</f>
        <v/>
      </c>
      <c r="M216" s="6">
        <f>IF(C216="","",N215)</f>
        <v/>
      </c>
      <c r="N216" s="6">
        <f>IF(L216="","",M216+L216)</f>
        <v/>
      </c>
      <c r="O216" s="6">
        <f>IF(N216="","",MAX(Settings!$B$7,N$2:N216))</f>
        <v/>
      </c>
      <c r="P216" s="6">
        <f>IF(N216="","",N216-O216)</f>
        <v/>
      </c>
      <c r="Q216" s="2">
        <f>IF(L216="","",IF(L216&gt;0,"Win",IF(L216&lt;0,"Loss","Flat")))</f>
        <v/>
      </c>
      <c r="R216" s="2" t="n"/>
    </row>
    <row r="217">
      <c r="A217" s="2">
        <f>IF(C217&lt;&gt;"",A216+1,"")</f>
        <v/>
      </c>
      <c r="B217" s="2" t="n"/>
      <c r="C217" s="2" t="n"/>
      <c r="D217" s="2" t="n"/>
      <c r="E217" s="2" t="n"/>
      <c r="F217" s="2" t="n"/>
      <c r="G217" s="6" t="n"/>
      <c r="H217" s="6" t="n"/>
      <c r="I217" s="2">
        <f>IF(OR(E217="",G217="",H217=""),"",IF(E217="Short",G217-H217,H217-G217))</f>
        <v/>
      </c>
      <c r="J217" s="6">
        <f>IF(I217="","",I217*F217*Settings!$B$3)</f>
        <v/>
      </c>
      <c r="K217" s="6" t="n"/>
      <c r="L217" s="6">
        <f>IF(J217="","",J217-K217)</f>
        <v/>
      </c>
      <c r="M217" s="6">
        <f>IF(C217="","",N216)</f>
        <v/>
      </c>
      <c r="N217" s="6">
        <f>IF(L217="","",M217+L217)</f>
        <v/>
      </c>
      <c r="O217" s="6">
        <f>IF(N217="","",MAX(Settings!$B$7,N$2:N217))</f>
        <v/>
      </c>
      <c r="P217" s="6">
        <f>IF(N217="","",N217-O217)</f>
        <v/>
      </c>
      <c r="Q217" s="2">
        <f>IF(L217="","",IF(L217&gt;0,"Win",IF(L217&lt;0,"Loss","Flat")))</f>
        <v/>
      </c>
      <c r="R217" s="2" t="n"/>
    </row>
    <row r="218">
      <c r="A218" s="2">
        <f>IF(C218&lt;&gt;"",A217+1,"")</f>
        <v/>
      </c>
      <c r="B218" s="2" t="n"/>
      <c r="C218" s="2" t="n"/>
      <c r="D218" s="2" t="n"/>
      <c r="E218" s="2" t="n"/>
      <c r="F218" s="2" t="n"/>
      <c r="G218" s="6" t="n"/>
      <c r="H218" s="6" t="n"/>
      <c r="I218" s="2">
        <f>IF(OR(E218="",G218="",H218=""),"",IF(E218="Short",G218-H218,H218-G218))</f>
        <v/>
      </c>
      <c r="J218" s="6">
        <f>IF(I218="","",I218*F218*Settings!$B$3)</f>
        <v/>
      </c>
      <c r="K218" s="6" t="n"/>
      <c r="L218" s="6">
        <f>IF(J218="","",J218-K218)</f>
        <v/>
      </c>
      <c r="M218" s="6">
        <f>IF(C218="","",N217)</f>
        <v/>
      </c>
      <c r="N218" s="6">
        <f>IF(L218="","",M218+L218)</f>
        <v/>
      </c>
      <c r="O218" s="6">
        <f>IF(N218="","",MAX(Settings!$B$7,N$2:N218))</f>
        <v/>
      </c>
      <c r="P218" s="6">
        <f>IF(N218="","",N218-O218)</f>
        <v/>
      </c>
      <c r="Q218" s="2">
        <f>IF(L218="","",IF(L218&gt;0,"Win",IF(L218&lt;0,"Loss","Flat")))</f>
        <v/>
      </c>
      <c r="R218" s="2" t="n"/>
    </row>
    <row r="219">
      <c r="A219" s="2">
        <f>IF(C219&lt;&gt;"",A218+1,"")</f>
        <v/>
      </c>
      <c r="B219" s="2" t="n"/>
      <c r="C219" s="2" t="n"/>
      <c r="D219" s="2" t="n"/>
      <c r="E219" s="2" t="n"/>
      <c r="F219" s="2" t="n"/>
      <c r="G219" s="6" t="n"/>
      <c r="H219" s="6" t="n"/>
      <c r="I219" s="2">
        <f>IF(OR(E219="",G219="",H219=""),"",IF(E219="Short",G219-H219,H219-G219))</f>
        <v/>
      </c>
      <c r="J219" s="6">
        <f>IF(I219="","",I219*F219*Settings!$B$3)</f>
        <v/>
      </c>
      <c r="K219" s="6" t="n"/>
      <c r="L219" s="6">
        <f>IF(J219="","",J219-K219)</f>
        <v/>
      </c>
      <c r="M219" s="6">
        <f>IF(C219="","",N218)</f>
        <v/>
      </c>
      <c r="N219" s="6">
        <f>IF(L219="","",M219+L219)</f>
        <v/>
      </c>
      <c r="O219" s="6">
        <f>IF(N219="","",MAX(Settings!$B$7,N$2:N219))</f>
        <v/>
      </c>
      <c r="P219" s="6">
        <f>IF(N219="","",N219-O219)</f>
        <v/>
      </c>
      <c r="Q219" s="2">
        <f>IF(L219="","",IF(L219&gt;0,"Win",IF(L219&lt;0,"Loss","Flat")))</f>
        <v/>
      </c>
      <c r="R219" s="2" t="n"/>
    </row>
    <row r="220">
      <c r="A220" s="2">
        <f>IF(C220&lt;&gt;"",A219+1,"")</f>
        <v/>
      </c>
      <c r="B220" s="2" t="n"/>
      <c r="C220" s="2" t="n"/>
      <c r="D220" s="2" t="n"/>
      <c r="E220" s="2" t="n"/>
      <c r="F220" s="2" t="n"/>
      <c r="G220" s="6" t="n"/>
      <c r="H220" s="6" t="n"/>
      <c r="I220" s="2">
        <f>IF(OR(E220="",G220="",H220=""),"",IF(E220="Short",G220-H220,H220-G220))</f>
        <v/>
      </c>
      <c r="J220" s="6">
        <f>IF(I220="","",I220*F220*Settings!$B$3)</f>
        <v/>
      </c>
      <c r="K220" s="6" t="n"/>
      <c r="L220" s="6">
        <f>IF(J220="","",J220-K220)</f>
        <v/>
      </c>
      <c r="M220" s="6">
        <f>IF(C220="","",N219)</f>
        <v/>
      </c>
      <c r="N220" s="6">
        <f>IF(L220="","",M220+L220)</f>
        <v/>
      </c>
      <c r="O220" s="6">
        <f>IF(N220="","",MAX(Settings!$B$7,N$2:N220))</f>
        <v/>
      </c>
      <c r="P220" s="6">
        <f>IF(N220="","",N220-O220)</f>
        <v/>
      </c>
      <c r="Q220" s="2">
        <f>IF(L220="","",IF(L220&gt;0,"Win",IF(L220&lt;0,"Loss","Flat")))</f>
        <v/>
      </c>
      <c r="R220" s="2" t="n"/>
    </row>
    <row r="221">
      <c r="A221" s="2">
        <f>IF(C221&lt;&gt;"",A220+1,"")</f>
        <v/>
      </c>
      <c r="B221" s="2" t="n"/>
      <c r="C221" s="2" t="n"/>
      <c r="D221" s="2" t="n"/>
      <c r="E221" s="2" t="n"/>
      <c r="F221" s="2" t="n"/>
      <c r="G221" s="6" t="n"/>
      <c r="H221" s="6" t="n"/>
      <c r="I221" s="2">
        <f>IF(OR(E221="",G221="",H221=""),"",IF(E221="Short",G221-H221,H221-G221))</f>
        <v/>
      </c>
      <c r="J221" s="6">
        <f>IF(I221="","",I221*F221*Settings!$B$3)</f>
        <v/>
      </c>
      <c r="K221" s="6" t="n"/>
      <c r="L221" s="6">
        <f>IF(J221="","",J221-K221)</f>
        <v/>
      </c>
      <c r="M221" s="6">
        <f>IF(C221="","",N220)</f>
        <v/>
      </c>
      <c r="N221" s="6">
        <f>IF(L221="","",M221+L221)</f>
        <v/>
      </c>
      <c r="O221" s="6">
        <f>IF(N221="","",MAX(Settings!$B$7,N$2:N221))</f>
        <v/>
      </c>
      <c r="P221" s="6">
        <f>IF(N221="","",N221-O221)</f>
        <v/>
      </c>
      <c r="Q221" s="2">
        <f>IF(L221="","",IF(L221&gt;0,"Win",IF(L221&lt;0,"Loss","Flat")))</f>
        <v/>
      </c>
      <c r="R221" s="2" t="n"/>
    </row>
    <row r="222">
      <c r="A222" s="2">
        <f>IF(C222&lt;&gt;"",A221+1,"")</f>
        <v/>
      </c>
      <c r="B222" s="2" t="n"/>
      <c r="C222" s="2" t="n"/>
      <c r="D222" s="2" t="n"/>
      <c r="E222" s="2" t="n"/>
      <c r="F222" s="2" t="n"/>
      <c r="G222" s="6" t="n"/>
      <c r="H222" s="6" t="n"/>
      <c r="I222" s="2">
        <f>IF(OR(E222="",G222="",H222=""),"",IF(E222="Short",G222-H222,H222-G222))</f>
        <v/>
      </c>
      <c r="J222" s="6">
        <f>IF(I222="","",I222*F222*Settings!$B$3)</f>
        <v/>
      </c>
      <c r="K222" s="6" t="n"/>
      <c r="L222" s="6">
        <f>IF(J222="","",J222-K222)</f>
        <v/>
      </c>
      <c r="M222" s="6">
        <f>IF(C222="","",N221)</f>
        <v/>
      </c>
      <c r="N222" s="6">
        <f>IF(L222="","",M222+L222)</f>
        <v/>
      </c>
      <c r="O222" s="6">
        <f>IF(N222="","",MAX(Settings!$B$7,N$2:N222))</f>
        <v/>
      </c>
      <c r="P222" s="6">
        <f>IF(N222="","",N222-O222)</f>
        <v/>
      </c>
      <c r="Q222" s="2">
        <f>IF(L222="","",IF(L222&gt;0,"Win",IF(L222&lt;0,"Loss","Flat")))</f>
        <v/>
      </c>
      <c r="R222" s="2" t="n"/>
    </row>
    <row r="223">
      <c r="A223" s="2">
        <f>IF(C223&lt;&gt;"",A222+1,"")</f>
        <v/>
      </c>
      <c r="B223" s="2" t="n"/>
      <c r="C223" s="2" t="n"/>
      <c r="D223" s="2" t="n"/>
      <c r="E223" s="2" t="n"/>
      <c r="F223" s="2" t="n"/>
      <c r="G223" s="6" t="n"/>
      <c r="H223" s="6" t="n"/>
      <c r="I223" s="2">
        <f>IF(OR(E223="",G223="",H223=""),"",IF(E223="Short",G223-H223,H223-G223))</f>
        <v/>
      </c>
      <c r="J223" s="6">
        <f>IF(I223="","",I223*F223*Settings!$B$3)</f>
        <v/>
      </c>
      <c r="K223" s="6" t="n"/>
      <c r="L223" s="6">
        <f>IF(J223="","",J223-K223)</f>
        <v/>
      </c>
      <c r="M223" s="6">
        <f>IF(C223="","",N222)</f>
        <v/>
      </c>
      <c r="N223" s="6">
        <f>IF(L223="","",M223+L223)</f>
        <v/>
      </c>
      <c r="O223" s="6">
        <f>IF(N223="","",MAX(Settings!$B$7,N$2:N223))</f>
        <v/>
      </c>
      <c r="P223" s="6">
        <f>IF(N223="","",N223-O223)</f>
        <v/>
      </c>
      <c r="Q223" s="2">
        <f>IF(L223="","",IF(L223&gt;0,"Win",IF(L223&lt;0,"Loss","Flat")))</f>
        <v/>
      </c>
      <c r="R223" s="2" t="n"/>
    </row>
    <row r="224">
      <c r="A224" s="2">
        <f>IF(C224&lt;&gt;"",A223+1,"")</f>
        <v/>
      </c>
      <c r="B224" s="2" t="n"/>
      <c r="C224" s="2" t="n"/>
      <c r="D224" s="2" t="n"/>
      <c r="E224" s="2" t="n"/>
      <c r="F224" s="2" t="n"/>
      <c r="G224" s="6" t="n"/>
      <c r="H224" s="6" t="n"/>
      <c r="I224" s="2">
        <f>IF(OR(E224="",G224="",H224=""),"",IF(E224="Short",G224-H224,H224-G224))</f>
        <v/>
      </c>
      <c r="J224" s="6">
        <f>IF(I224="","",I224*F224*Settings!$B$3)</f>
        <v/>
      </c>
      <c r="K224" s="6" t="n"/>
      <c r="L224" s="6">
        <f>IF(J224="","",J224-K224)</f>
        <v/>
      </c>
      <c r="M224" s="6">
        <f>IF(C224="","",N223)</f>
        <v/>
      </c>
      <c r="N224" s="6">
        <f>IF(L224="","",M224+L224)</f>
        <v/>
      </c>
      <c r="O224" s="6">
        <f>IF(N224="","",MAX(Settings!$B$7,N$2:N224))</f>
        <v/>
      </c>
      <c r="P224" s="6">
        <f>IF(N224="","",N224-O224)</f>
        <v/>
      </c>
      <c r="Q224" s="2">
        <f>IF(L224="","",IF(L224&gt;0,"Win",IF(L224&lt;0,"Loss","Flat")))</f>
        <v/>
      </c>
      <c r="R224" s="2" t="n"/>
    </row>
    <row r="225">
      <c r="A225" s="2">
        <f>IF(C225&lt;&gt;"",A224+1,"")</f>
        <v/>
      </c>
      <c r="B225" s="2" t="n"/>
      <c r="C225" s="2" t="n"/>
      <c r="D225" s="2" t="n"/>
      <c r="E225" s="2" t="n"/>
      <c r="F225" s="2" t="n"/>
      <c r="G225" s="6" t="n"/>
      <c r="H225" s="6" t="n"/>
      <c r="I225" s="2">
        <f>IF(OR(E225="",G225="",H225=""),"",IF(E225="Short",G225-H225,H225-G225))</f>
        <v/>
      </c>
      <c r="J225" s="6">
        <f>IF(I225="","",I225*F225*Settings!$B$3)</f>
        <v/>
      </c>
      <c r="K225" s="6" t="n"/>
      <c r="L225" s="6">
        <f>IF(J225="","",J225-K225)</f>
        <v/>
      </c>
      <c r="M225" s="6">
        <f>IF(C225="","",N224)</f>
        <v/>
      </c>
      <c r="N225" s="6">
        <f>IF(L225="","",M225+L225)</f>
        <v/>
      </c>
      <c r="O225" s="6">
        <f>IF(N225="","",MAX(Settings!$B$7,N$2:N225))</f>
        <v/>
      </c>
      <c r="P225" s="6">
        <f>IF(N225="","",N225-O225)</f>
        <v/>
      </c>
      <c r="Q225" s="2">
        <f>IF(L225="","",IF(L225&gt;0,"Win",IF(L225&lt;0,"Loss","Flat")))</f>
        <v/>
      </c>
      <c r="R225" s="2" t="n"/>
    </row>
    <row r="226">
      <c r="A226" s="2">
        <f>IF(C226&lt;&gt;"",A225+1,"")</f>
        <v/>
      </c>
      <c r="B226" s="2" t="n"/>
      <c r="C226" s="2" t="n"/>
      <c r="D226" s="2" t="n"/>
      <c r="E226" s="2" t="n"/>
      <c r="F226" s="2" t="n"/>
      <c r="G226" s="6" t="n"/>
      <c r="H226" s="6" t="n"/>
      <c r="I226" s="2">
        <f>IF(OR(E226="",G226="",H226=""),"",IF(E226="Short",G226-H226,H226-G226))</f>
        <v/>
      </c>
      <c r="J226" s="6">
        <f>IF(I226="","",I226*F226*Settings!$B$3)</f>
        <v/>
      </c>
      <c r="K226" s="6" t="n"/>
      <c r="L226" s="6">
        <f>IF(J226="","",J226-K226)</f>
        <v/>
      </c>
      <c r="M226" s="6">
        <f>IF(C226="","",N225)</f>
        <v/>
      </c>
      <c r="N226" s="6">
        <f>IF(L226="","",M226+L226)</f>
        <v/>
      </c>
      <c r="O226" s="6">
        <f>IF(N226="","",MAX(Settings!$B$7,N$2:N226))</f>
        <v/>
      </c>
      <c r="P226" s="6">
        <f>IF(N226="","",N226-O226)</f>
        <v/>
      </c>
      <c r="Q226" s="2">
        <f>IF(L226="","",IF(L226&gt;0,"Win",IF(L226&lt;0,"Loss","Flat")))</f>
        <v/>
      </c>
      <c r="R226" s="2" t="n"/>
    </row>
    <row r="227">
      <c r="A227" s="2">
        <f>IF(C227&lt;&gt;"",A226+1,"")</f>
        <v/>
      </c>
      <c r="B227" s="2" t="n"/>
      <c r="C227" s="2" t="n"/>
      <c r="D227" s="2" t="n"/>
      <c r="E227" s="2" t="n"/>
      <c r="F227" s="2" t="n"/>
      <c r="G227" s="6" t="n"/>
      <c r="H227" s="6" t="n"/>
      <c r="I227" s="2">
        <f>IF(OR(E227="",G227="",H227=""),"",IF(E227="Short",G227-H227,H227-G227))</f>
        <v/>
      </c>
      <c r="J227" s="6">
        <f>IF(I227="","",I227*F227*Settings!$B$3)</f>
        <v/>
      </c>
      <c r="K227" s="6" t="n"/>
      <c r="L227" s="6">
        <f>IF(J227="","",J227-K227)</f>
        <v/>
      </c>
      <c r="M227" s="6">
        <f>IF(C227="","",N226)</f>
        <v/>
      </c>
      <c r="N227" s="6">
        <f>IF(L227="","",M227+L227)</f>
        <v/>
      </c>
      <c r="O227" s="6">
        <f>IF(N227="","",MAX(Settings!$B$7,N$2:N227))</f>
        <v/>
      </c>
      <c r="P227" s="6">
        <f>IF(N227="","",N227-O227)</f>
        <v/>
      </c>
      <c r="Q227" s="2">
        <f>IF(L227="","",IF(L227&gt;0,"Win",IF(L227&lt;0,"Loss","Flat")))</f>
        <v/>
      </c>
      <c r="R227" s="2" t="n"/>
    </row>
    <row r="228">
      <c r="A228" s="2">
        <f>IF(C228&lt;&gt;"",A227+1,"")</f>
        <v/>
      </c>
      <c r="B228" s="2" t="n"/>
      <c r="C228" s="2" t="n"/>
      <c r="D228" s="2" t="n"/>
      <c r="E228" s="2" t="n"/>
      <c r="F228" s="2" t="n"/>
      <c r="G228" s="6" t="n"/>
      <c r="H228" s="6" t="n"/>
      <c r="I228" s="2">
        <f>IF(OR(E228="",G228="",H228=""),"",IF(E228="Short",G228-H228,H228-G228))</f>
        <v/>
      </c>
      <c r="J228" s="6">
        <f>IF(I228="","",I228*F228*Settings!$B$3)</f>
        <v/>
      </c>
      <c r="K228" s="6" t="n"/>
      <c r="L228" s="6">
        <f>IF(J228="","",J228-K228)</f>
        <v/>
      </c>
      <c r="M228" s="6">
        <f>IF(C228="","",N227)</f>
        <v/>
      </c>
      <c r="N228" s="6">
        <f>IF(L228="","",M228+L228)</f>
        <v/>
      </c>
      <c r="O228" s="6">
        <f>IF(N228="","",MAX(Settings!$B$7,N$2:N228))</f>
        <v/>
      </c>
      <c r="P228" s="6">
        <f>IF(N228="","",N228-O228)</f>
        <v/>
      </c>
      <c r="Q228" s="2">
        <f>IF(L228="","",IF(L228&gt;0,"Win",IF(L228&lt;0,"Loss","Flat")))</f>
        <v/>
      </c>
      <c r="R228" s="2" t="n"/>
    </row>
    <row r="229">
      <c r="A229" s="2">
        <f>IF(C229&lt;&gt;"",A228+1,"")</f>
        <v/>
      </c>
      <c r="B229" s="2" t="n"/>
      <c r="C229" s="2" t="n"/>
      <c r="D229" s="2" t="n"/>
      <c r="E229" s="2" t="n"/>
      <c r="F229" s="2" t="n"/>
      <c r="G229" s="6" t="n"/>
      <c r="H229" s="6" t="n"/>
      <c r="I229" s="2">
        <f>IF(OR(E229="",G229="",H229=""),"",IF(E229="Short",G229-H229,H229-G229))</f>
        <v/>
      </c>
      <c r="J229" s="6">
        <f>IF(I229="","",I229*F229*Settings!$B$3)</f>
        <v/>
      </c>
      <c r="K229" s="6" t="n"/>
      <c r="L229" s="6">
        <f>IF(J229="","",J229-K229)</f>
        <v/>
      </c>
      <c r="M229" s="6">
        <f>IF(C229="","",N228)</f>
        <v/>
      </c>
      <c r="N229" s="6">
        <f>IF(L229="","",M229+L229)</f>
        <v/>
      </c>
      <c r="O229" s="6">
        <f>IF(N229="","",MAX(Settings!$B$7,N$2:N229))</f>
        <v/>
      </c>
      <c r="P229" s="6">
        <f>IF(N229="","",N229-O229)</f>
        <v/>
      </c>
      <c r="Q229" s="2">
        <f>IF(L229="","",IF(L229&gt;0,"Win",IF(L229&lt;0,"Loss","Flat")))</f>
        <v/>
      </c>
      <c r="R229" s="2" t="n"/>
    </row>
    <row r="230">
      <c r="A230" s="2">
        <f>IF(C230&lt;&gt;"",A229+1,"")</f>
        <v/>
      </c>
      <c r="B230" s="2" t="n"/>
      <c r="C230" s="2" t="n"/>
      <c r="D230" s="2" t="n"/>
      <c r="E230" s="2" t="n"/>
      <c r="F230" s="2" t="n"/>
      <c r="G230" s="6" t="n"/>
      <c r="H230" s="6" t="n"/>
      <c r="I230" s="2">
        <f>IF(OR(E230="",G230="",H230=""),"",IF(E230="Short",G230-H230,H230-G230))</f>
        <v/>
      </c>
      <c r="J230" s="6">
        <f>IF(I230="","",I230*F230*Settings!$B$3)</f>
        <v/>
      </c>
      <c r="K230" s="6" t="n"/>
      <c r="L230" s="6">
        <f>IF(J230="","",J230-K230)</f>
        <v/>
      </c>
      <c r="M230" s="6">
        <f>IF(C230="","",N229)</f>
        <v/>
      </c>
      <c r="N230" s="6">
        <f>IF(L230="","",M230+L230)</f>
        <v/>
      </c>
      <c r="O230" s="6">
        <f>IF(N230="","",MAX(Settings!$B$7,N$2:N230))</f>
        <v/>
      </c>
      <c r="P230" s="6">
        <f>IF(N230="","",N230-O230)</f>
        <v/>
      </c>
      <c r="Q230" s="2">
        <f>IF(L230="","",IF(L230&gt;0,"Win",IF(L230&lt;0,"Loss","Flat")))</f>
        <v/>
      </c>
      <c r="R230" s="2" t="n"/>
    </row>
    <row r="231">
      <c r="A231" s="2">
        <f>IF(C231&lt;&gt;"",A230+1,"")</f>
        <v/>
      </c>
      <c r="B231" s="2" t="n"/>
      <c r="C231" s="2" t="n"/>
      <c r="D231" s="2" t="n"/>
      <c r="E231" s="2" t="n"/>
      <c r="F231" s="2" t="n"/>
      <c r="G231" s="6" t="n"/>
      <c r="H231" s="6" t="n"/>
      <c r="I231" s="2">
        <f>IF(OR(E231="",G231="",H231=""),"",IF(E231="Short",G231-H231,H231-G231))</f>
        <v/>
      </c>
      <c r="J231" s="6">
        <f>IF(I231="","",I231*F231*Settings!$B$3)</f>
        <v/>
      </c>
      <c r="K231" s="6" t="n"/>
      <c r="L231" s="6">
        <f>IF(J231="","",J231-K231)</f>
        <v/>
      </c>
      <c r="M231" s="6">
        <f>IF(C231="","",N230)</f>
        <v/>
      </c>
      <c r="N231" s="6">
        <f>IF(L231="","",M231+L231)</f>
        <v/>
      </c>
      <c r="O231" s="6">
        <f>IF(N231="","",MAX(Settings!$B$7,N$2:N231))</f>
        <v/>
      </c>
      <c r="P231" s="6">
        <f>IF(N231="","",N231-O231)</f>
        <v/>
      </c>
      <c r="Q231" s="2">
        <f>IF(L231="","",IF(L231&gt;0,"Win",IF(L231&lt;0,"Loss","Flat")))</f>
        <v/>
      </c>
      <c r="R231" s="2" t="n"/>
    </row>
    <row r="232">
      <c r="A232" s="2">
        <f>IF(C232&lt;&gt;"",A231+1,"")</f>
        <v/>
      </c>
      <c r="B232" s="2" t="n"/>
      <c r="C232" s="2" t="n"/>
      <c r="D232" s="2" t="n"/>
      <c r="E232" s="2" t="n"/>
      <c r="F232" s="2" t="n"/>
      <c r="G232" s="6" t="n"/>
      <c r="H232" s="6" t="n"/>
      <c r="I232" s="2">
        <f>IF(OR(E232="",G232="",H232=""),"",IF(E232="Short",G232-H232,H232-G232))</f>
        <v/>
      </c>
      <c r="J232" s="6">
        <f>IF(I232="","",I232*F232*Settings!$B$3)</f>
        <v/>
      </c>
      <c r="K232" s="6" t="n"/>
      <c r="L232" s="6">
        <f>IF(J232="","",J232-K232)</f>
        <v/>
      </c>
      <c r="M232" s="6">
        <f>IF(C232="","",N231)</f>
        <v/>
      </c>
      <c r="N232" s="6">
        <f>IF(L232="","",M232+L232)</f>
        <v/>
      </c>
      <c r="O232" s="6">
        <f>IF(N232="","",MAX(Settings!$B$7,N$2:N232))</f>
        <v/>
      </c>
      <c r="P232" s="6">
        <f>IF(N232="","",N232-O232)</f>
        <v/>
      </c>
      <c r="Q232" s="2">
        <f>IF(L232="","",IF(L232&gt;0,"Win",IF(L232&lt;0,"Loss","Flat")))</f>
        <v/>
      </c>
      <c r="R232" s="2" t="n"/>
    </row>
    <row r="233">
      <c r="A233" s="2">
        <f>IF(C233&lt;&gt;"",A232+1,"")</f>
        <v/>
      </c>
      <c r="B233" s="2" t="n"/>
      <c r="C233" s="2" t="n"/>
      <c r="D233" s="2" t="n"/>
      <c r="E233" s="2" t="n"/>
      <c r="F233" s="2" t="n"/>
      <c r="G233" s="6" t="n"/>
      <c r="H233" s="6" t="n"/>
      <c r="I233" s="2">
        <f>IF(OR(E233="",G233="",H233=""),"",IF(E233="Short",G233-H233,H233-G233))</f>
        <v/>
      </c>
      <c r="J233" s="6">
        <f>IF(I233="","",I233*F233*Settings!$B$3)</f>
        <v/>
      </c>
      <c r="K233" s="6" t="n"/>
      <c r="L233" s="6">
        <f>IF(J233="","",J233-K233)</f>
        <v/>
      </c>
      <c r="M233" s="6">
        <f>IF(C233="","",N232)</f>
        <v/>
      </c>
      <c r="N233" s="6">
        <f>IF(L233="","",M233+L233)</f>
        <v/>
      </c>
      <c r="O233" s="6">
        <f>IF(N233="","",MAX(Settings!$B$7,N$2:N233))</f>
        <v/>
      </c>
      <c r="P233" s="6">
        <f>IF(N233="","",N233-O233)</f>
        <v/>
      </c>
      <c r="Q233" s="2">
        <f>IF(L233="","",IF(L233&gt;0,"Win",IF(L233&lt;0,"Loss","Flat")))</f>
        <v/>
      </c>
      <c r="R233" s="2" t="n"/>
    </row>
    <row r="234">
      <c r="A234" s="2">
        <f>IF(C234&lt;&gt;"",A233+1,"")</f>
        <v/>
      </c>
      <c r="B234" s="2" t="n"/>
      <c r="C234" s="2" t="n"/>
      <c r="D234" s="2" t="n"/>
      <c r="E234" s="2" t="n"/>
      <c r="F234" s="2" t="n"/>
      <c r="G234" s="6" t="n"/>
      <c r="H234" s="6" t="n"/>
      <c r="I234" s="2">
        <f>IF(OR(E234="",G234="",H234=""),"",IF(E234="Short",G234-H234,H234-G234))</f>
        <v/>
      </c>
      <c r="J234" s="6">
        <f>IF(I234="","",I234*F234*Settings!$B$3)</f>
        <v/>
      </c>
      <c r="K234" s="6" t="n"/>
      <c r="L234" s="6">
        <f>IF(J234="","",J234-K234)</f>
        <v/>
      </c>
      <c r="M234" s="6">
        <f>IF(C234="","",N233)</f>
        <v/>
      </c>
      <c r="N234" s="6">
        <f>IF(L234="","",M234+L234)</f>
        <v/>
      </c>
      <c r="O234" s="6">
        <f>IF(N234="","",MAX(Settings!$B$7,N$2:N234))</f>
        <v/>
      </c>
      <c r="P234" s="6">
        <f>IF(N234="","",N234-O234)</f>
        <v/>
      </c>
      <c r="Q234" s="2">
        <f>IF(L234="","",IF(L234&gt;0,"Win",IF(L234&lt;0,"Loss","Flat")))</f>
        <v/>
      </c>
      <c r="R234" s="2" t="n"/>
    </row>
    <row r="235">
      <c r="A235" s="2">
        <f>IF(C235&lt;&gt;"",A234+1,"")</f>
        <v/>
      </c>
      <c r="B235" s="2" t="n"/>
      <c r="C235" s="2" t="n"/>
      <c r="D235" s="2" t="n"/>
      <c r="E235" s="2" t="n"/>
      <c r="F235" s="2" t="n"/>
      <c r="G235" s="6" t="n"/>
      <c r="H235" s="6" t="n"/>
      <c r="I235" s="2">
        <f>IF(OR(E235="",G235="",H235=""),"",IF(E235="Short",G235-H235,H235-G235))</f>
        <v/>
      </c>
      <c r="J235" s="6">
        <f>IF(I235="","",I235*F235*Settings!$B$3)</f>
        <v/>
      </c>
      <c r="K235" s="6" t="n"/>
      <c r="L235" s="6">
        <f>IF(J235="","",J235-K235)</f>
        <v/>
      </c>
      <c r="M235" s="6">
        <f>IF(C235="","",N234)</f>
        <v/>
      </c>
      <c r="N235" s="6">
        <f>IF(L235="","",M235+L235)</f>
        <v/>
      </c>
      <c r="O235" s="6">
        <f>IF(N235="","",MAX(Settings!$B$7,N$2:N235))</f>
        <v/>
      </c>
      <c r="P235" s="6">
        <f>IF(N235="","",N235-O235)</f>
        <v/>
      </c>
      <c r="Q235" s="2">
        <f>IF(L235="","",IF(L235&gt;0,"Win",IF(L235&lt;0,"Loss","Flat")))</f>
        <v/>
      </c>
      <c r="R235" s="2" t="n"/>
    </row>
    <row r="236">
      <c r="A236" s="2">
        <f>IF(C236&lt;&gt;"",A235+1,"")</f>
        <v/>
      </c>
      <c r="B236" s="2" t="n"/>
      <c r="C236" s="2" t="n"/>
      <c r="D236" s="2" t="n"/>
      <c r="E236" s="2" t="n"/>
      <c r="F236" s="2" t="n"/>
      <c r="G236" s="6" t="n"/>
      <c r="H236" s="6" t="n"/>
      <c r="I236" s="2">
        <f>IF(OR(E236="",G236="",H236=""),"",IF(E236="Short",G236-H236,H236-G236))</f>
        <v/>
      </c>
      <c r="J236" s="6">
        <f>IF(I236="","",I236*F236*Settings!$B$3)</f>
        <v/>
      </c>
      <c r="K236" s="6" t="n"/>
      <c r="L236" s="6">
        <f>IF(J236="","",J236-K236)</f>
        <v/>
      </c>
      <c r="M236" s="6">
        <f>IF(C236="","",N235)</f>
        <v/>
      </c>
      <c r="N236" s="6">
        <f>IF(L236="","",M236+L236)</f>
        <v/>
      </c>
      <c r="O236" s="6">
        <f>IF(N236="","",MAX(Settings!$B$7,N$2:N236))</f>
        <v/>
      </c>
      <c r="P236" s="6">
        <f>IF(N236="","",N236-O236)</f>
        <v/>
      </c>
      <c r="Q236" s="2">
        <f>IF(L236="","",IF(L236&gt;0,"Win",IF(L236&lt;0,"Loss","Flat")))</f>
        <v/>
      </c>
      <c r="R236" s="2" t="n"/>
    </row>
    <row r="237">
      <c r="A237" s="2">
        <f>IF(C237&lt;&gt;"",A236+1,"")</f>
        <v/>
      </c>
      <c r="B237" s="2" t="n"/>
      <c r="C237" s="2" t="n"/>
      <c r="D237" s="2" t="n"/>
      <c r="E237" s="2" t="n"/>
      <c r="F237" s="2" t="n"/>
      <c r="G237" s="6" t="n"/>
      <c r="H237" s="6" t="n"/>
      <c r="I237" s="2">
        <f>IF(OR(E237="",G237="",H237=""),"",IF(E237="Short",G237-H237,H237-G237))</f>
        <v/>
      </c>
      <c r="J237" s="6">
        <f>IF(I237="","",I237*F237*Settings!$B$3)</f>
        <v/>
      </c>
      <c r="K237" s="6" t="n"/>
      <c r="L237" s="6">
        <f>IF(J237="","",J237-K237)</f>
        <v/>
      </c>
      <c r="M237" s="6">
        <f>IF(C237="","",N236)</f>
        <v/>
      </c>
      <c r="N237" s="6">
        <f>IF(L237="","",M237+L237)</f>
        <v/>
      </c>
      <c r="O237" s="6">
        <f>IF(N237="","",MAX(Settings!$B$7,N$2:N237))</f>
        <v/>
      </c>
      <c r="P237" s="6">
        <f>IF(N237="","",N237-O237)</f>
        <v/>
      </c>
      <c r="Q237" s="2">
        <f>IF(L237="","",IF(L237&gt;0,"Win",IF(L237&lt;0,"Loss","Flat")))</f>
        <v/>
      </c>
      <c r="R237" s="2" t="n"/>
    </row>
    <row r="238">
      <c r="A238" s="2">
        <f>IF(C238&lt;&gt;"",A237+1,"")</f>
        <v/>
      </c>
      <c r="B238" s="2" t="n"/>
      <c r="C238" s="2" t="n"/>
      <c r="D238" s="2" t="n"/>
      <c r="E238" s="2" t="n"/>
      <c r="F238" s="2" t="n"/>
      <c r="G238" s="6" t="n"/>
      <c r="H238" s="6" t="n"/>
      <c r="I238" s="2">
        <f>IF(OR(E238="",G238="",H238=""),"",IF(E238="Short",G238-H238,H238-G238))</f>
        <v/>
      </c>
      <c r="J238" s="6">
        <f>IF(I238="","",I238*F238*Settings!$B$3)</f>
        <v/>
      </c>
      <c r="K238" s="6" t="n"/>
      <c r="L238" s="6">
        <f>IF(J238="","",J238-K238)</f>
        <v/>
      </c>
      <c r="M238" s="6">
        <f>IF(C238="","",N237)</f>
        <v/>
      </c>
      <c r="N238" s="6">
        <f>IF(L238="","",M238+L238)</f>
        <v/>
      </c>
      <c r="O238" s="6">
        <f>IF(N238="","",MAX(Settings!$B$7,N$2:N238))</f>
        <v/>
      </c>
      <c r="P238" s="6">
        <f>IF(N238="","",N238-O238)</f>
        <v/>
      </c>
      <c r="Q238" s="2">
        <f>IF(L238="","",IF(L238&gt;0,"Win",IF(L238&lt;0,"Loss","Flat")))</f>
        <v/>
      </c>
      <c r="R238" s="2" t="n"/>
    </row>
    <row r="239">
      <c r="A239" s="2">
        <f>IF(C239&lt;&gt;"",A238+1,"")</f>
        <v/>
      </c>
      <c r="B239" s="2" t="n"/>
      <c r="C239" s="2" t="n"/>
      <c r="D239" s="2" t="n"/>
      <c r="E239" s="2" t="n"/>
      <c r="F239" s="2" t="n"/>
      <c r="G239" s="6" t="n"/>
      <c r="H239" s="6" t="n"/>
      <c r="I239" s="2">
        <f>IF(OR(E239="",G239="",H239=""),"",IF(E239="Short",G239-H239,H239-G239))</f>
        <v/>
      </c>
      <c r="J239" s="6">
        <f>IF(I239="","",I239*F239*Settings!$B$3)</f>
        <v/>
      </c>
      <c r="K239" s="6" t="n"/>
      <c r="L239" s="6">
        <f>IF(J239="","",J239-K239)</f>
        <v/>
      </c>
      <c r="M239" s="6">
        <f>IF(C239="","",N238)</f>
        <v/>
      </c>
      <c r="N239" s="6">
        <f>IF(L239="","",M239+L239)</f>
        <v/>
      </c>
      <c r="O239" s="6">
        <f>IF(N239="","",MAX(Settings!$B$7,N$2:N239))</f>
        <v/>
      </c>
      <c r="P239" s="6">
        <f>IF(N239="","",N239-O239)</f>
        <v/>
      </c>
      <c r="Q239" s="2">
        <f>IF(L239="","",IF(L239&gt;0,"Win",IF(L239&lt;0,"Loss","Flat")))</f>
        <v/>
      </c>
      <c r="R239" s="2" t="n"/>
    </row>
    <row r="240">
      <c r="A240" s="2">
        <f>IF(C240&lt;&gt;"",A239+1,"")</f>
        <v/>
      </c>
      <c r="B240" s="2" t="n"/>
      <c r="C240" s="2" t="n"/>
      <c r="D240" s="2" t="n"/>
      <c r="E240" s="2" t="n"/>
      <c r="F240" s="2" t="n"/>
      <c r="G240" s="6" t="n"/>
      <c r="H240" s="6" t="n"/>
      <c r="I240" s="2">
        <f>IF(OR(E240="",G240="",H240=""),"",IF(E240="Short",G240-H240,H240-G240))</f>
        <v/>
      </c>
      <c r="J240" s="6">
        <f>IF(I240="","",I240*F240*Settings!$B$3)</f>
        <v/>
      </c>
      <c r="K240" s="6" t="n"/>
      <c r="L240" s="6">
        <f>IF(J240="","",J240-K240)</f>
        <v/>
      </c>
      <c r="M240" s="6">
        <f>IF(C240="","",N239)</f>
        <v/>
      </c>
      <c r="N240" s="6">
        <f>IF(L240="","",M240+L240)</f>
        <v/>
      </c>
      <c r="O240" s="6">
        <f>IF(N240="","",MAX(Settings!$B$7,N$2:N240))</f>
        <v/>
      </c>
      <c r="P240" s="6">
        <f>IF(N240="","",N240-O240)</f>
        <v/>
      </c>
      <c r="Q240" s="2">
        <f>IF(L240="","",IF(L240&gt;0,"Win",IF(L240&lt;0,"Loss","Flat")))</f>
        <v/>
      </c>
      <c r="R240" s="2" t="n"/>
    </row>
    <row r="241">
      <c r="A241" s="2">
        <f>IF(C241&lt;&gt;"",A240+1,"")</f>
        <v/>
      </c>
      <c r="B241" s="2" t="n"/>
      <c r="C241" s="2" t="n"/>
      <c r="D241" s="2" t="n"/>
      <c r="E241" s="2" t="n"/>
      <c r="F241" s="2" t="n"/>
      <c r="G241" s="6" t="n"/>
      <c r="H241" s="6" t="n"/>
      <c r="I241" s="2">
        <f>IF(OR(E241="",G241="",H241=""),"",IF(E241="Short",G241-H241,H241-G241))</f>
        <v/>
      </c>
      <c r="J241" s="6">
        <f>IF(I241="","",I241*F241*Settings!$B$3)</f>
        <v/>
      </c>
      <c r="K241" s="6" t="n"/>
      <c r="L241" s="6">
        <f>IF(J241="","",J241-K241)</f>
        <v/>
      </c>
      <c r="M241" s="6">
        <f>IF(C241="","",N240)</f>
        <v/>
      </c>
      <c r="N241" s="6">
        <f>IF(L241="","",M241+L241)</f>
        <v/>
      </c>
      <c r="O241" s="6">
        <f>IF(N241="","",MAX(Settings!$B$7,N$2:N241))</f>
        <v/>
      </c>
      <c r="P241" s="6">
        <f>IF(N241="","",N241-O241)</f>
        <v/>
      </c>
      <c r="Q241" s="2">
        <f>IF(L241="","",IF(L241&gt;0,"Win",IF(L241&lt;0,"Loss","Flat")))</f>
        <v/>
      </c>
      <c r="R241" s="2" t="n"/>
    </row>
    <row r="242">
      <c r="A242" s="2">
        <f>IF(C242&lt;&gt;"",A241+1,"")</f>
        <v/>
      </c>
      <c r="B242" s="2" t="n"/>
      <c r="C242" s="2" t="n"/>
      <c r="D242" s="2" t="n"/>
      <c r="E242" s="2" t="n"/>
      <c r="F242" s="2" t="n"/>
      <c r="G242" s="6" t="n"/>
      <c r="H242" s="6" t="n"/>
      <c r="I242" s="2">
        <f>IF(OR(E242="",G242="",H242=""),"",IF(E242="Short",G242-H242,H242-G242))</f>
        <v/>
      </c>
      <c r="J242" s="6">
        <f>IF(I242="","",I242*F242*Settings!$B$3)</f>
        <v/>
      </c>
      <c r="K242" s="6" t="n"/>
      <c r="L242" s="6">
        <f>IF(J242="","",J242-K242)</f>
        <v/>
      </c>
      <c r="M242" s="6">
        <f>IF(C242="","",N241)</f>
        <v/>
      </c>
      <c r="N242" s="6">
        <f>IF(L242="","",M242+L242)</f>
        <v/>
      </c>
      <c r="O242" s="6">
        <f>IF(N242="","",MAX(Settings!$B$7,N$2:N242))</f>
        <v/>
      </c>
      <c r="P242" s="6">
        <f>IF(N242="","",N242-O242)</f>
        <v/>
      </c>
      <c r="Q242" s="2">
        <f>IF(L242="","",IF(L242&gt;0,"Win",IF(L242&lt;0,"Loss","Flat")))</f>
        <v/>
      </c>
      <c r="R242" s="2" t="n"/>
    </row>
    <row r="243">
      <c r="A243" s="2">
        <f>IF(C243&lt;&gt;"",A242+1,"")</f>
        <v/>
      </c>
      <c r="B243" s="2" t="n"/>
      <c r="C243" s="2" t="n"/>
      <c r="D243" s="2" t="n"/>
      <c r="E243" s="2" t="n"/>
      <c r="F243" s="2" t="n"/>
      <c r="G243" s="6" t="n"/>
      <c r="H243" s="6" t="n"/>
      <c r="I243" s="2">
        <f>IF(OR(E243="",G243="",H243=""),"",IF(E243="Short",G243-H243,H243-G243))</f>
        <v/>
      </c>
      <c r="J243" s="6">
        <f>IF(I243="","",I243*F243*Settings!$B$3)</f>
        <v/>
      </c>
      <c r="K243" s="6" t="n"/>
      <c r="L243" s="6">
        <f>IF(J243="","",J243-K243)</f>
        <v/>
      </c>
      <c r="M243" s="6">
        <f>IF(C243="","",N242)</f>
        <v/>
      </c>
      <c r="N243" s="6">
        <f>IF(L243="","",M243+L243)</f>
        <v/>
      </c>
      <c r="O243" s="6">
        <f>IF(N243="","",MAX(Settings!$B$7,N$2:N243))</f>
        <v/>
      </c>
      <c r="P243" s="6">
        <f>IF(N243="","",N243-O243)</f>
        <v/>
      </c>
      <c r="Q243" s="2">
        <f>IF(L243="","",IF(L243&gt;0,"Win",IF(L243&lt;0,"Loss","Flat")))</f>
        <v/>
      </c>
      <c r="R243" s="2" t="n"/>
    </row>
    <row r="244">
      <c r="A244" s="2">
        <f>IF(C244&lt;&gt;"",A243+1,"")</f>
        <v/>
      </c>
      <c r="B244" s="2" t="n"/>
      <c r="C244" s="2" t="n"/>
      <c r="D244" s="2" t="n"/>
      <c r="E244" s="2" t="n"/>
      <c r="F244" s="2" t="n"/>
      <c r="G244" s="6" t="n"/>
      <c r="H244" s="6" t="n"/>
      <c r="I244" s="2">
        <f>IF(OR(E244="",G244="",H244=""),"",IF(E244="Short",G244-H244,H244-G244))</f>
        <v/>
      </c>
      <c r="J244" s="6">
        <f>IF(I244="","",I244*F244*Settings!$B$3)</f>
        <v/>
      </c>
      <c r="K244" s="6" t="n"/>
      <c r="L244" s="6">
        <f>IF(J244="","",J244-K244)</f>
        <v/>
      </c>
      <c r="M244" s="6">
        <f>IF(C244="","",N243)</f>
        <v/>
      </c>
      <c r="N244" s="6">
        <f>IF(L244="","",M244+L244)</f>
        <v/>
      </c>
      <c r="O244" s="6">
        <f>IF(N244="","",MAX(Settings!$B$7,N$2:N244))</f>
        <v/>
      </c>
      <c r="P244" s="6">
        <f>IF(N244="","",N244-O244)</f>
        <v/>
      </c>
      <c r="Q244" s="2">
        <f>IF(L244="","",IF(L244&gt;0,"Win",IF(L244&lt;0,"Loss","Flat")))</f>
        <v/>
      </c>
      <c r="R244" s="2" t="n"/>
    </row>
    <row r="245">
      <c r="A245" s="2">
        <f>IF(C245&lt;&gt;"",A244+1,"")</f>
        <v/>
      </c>
      <c r="B245" s="2" t="n"/>
      <c r="C245" s="2" t="n"/>
      <c r="D245" s="2" t="n"/>
      <c r="E245" s="2" t="n"/>
      <c r="F245" s="2" t="n"/>
      <c r="G245" s="6" t="n"/>
      <c r="H245" s="6" t="n"/>
      <c r="I245" s="2">
        <f>IF(OR(E245="",G245="",H245=""),"",IF(E245="Short",G245-H245,H245-G245))</f>
        <v/>
      </c>
      <c r="J245" s="6">
        <f>IF(I245="","",I245*F245*Settings!$B$3)</f>
        <v/>
      </c>
      <c r="K245" s="6" t="n"/>
      <c r="L245" s="6">
        <f>IF(J245="","",J245-K245)</f>
        <v/>
      </c>
      <c r="M245" s="6">
        <f>IF(C245="","",N244)</f>
        <v/>
      </c>
      <c r="N245" s="6">
        <f>IF(L245="","",M245+L245)</f>
        <v/>
      </c>
      <c r="O245" s="6">
        <f>IF(N245="","",MAX(Settings!$B$7,N$2:N245))</f>
        <v/>
      </c>
      <c r="P245" s="6">
        <f>IF(N245="","",N245-O245)</f>
        <v/>
      </c>
      <c r="Q245" s="2">
        <f>IF(L245="","",IF(L245&gt;0,"Win",IF(L245&lt;0,"Loss","Flat")))</f>
        <v/>
      </c>
      <c r="R245" s="2" t="n"/>
    </row>
    <row r="246">
      <c r="A246" s="2">
        <f>IF(C246&lt;&gt;"",A245+1,"")</f>
        <v/>
      </c>
      <c r="B246" s="2" t="n"/>
      <c r="C246" s="2" t="n"/>
      <c r="D246" s="2" t="n"/>
      <c r="E246" s="2" t="n"/>
      <c r="F246" s="2" t="n"/>
      <c r="G246" s="6" t="n"/>
      <c r="H246" s="6" t="n"/>
      <c r="I246" s="2">
        <f>IF(OR(E246="",G246="",H246=""),"",IF(E246="Short",G246-H246,H246-G246))</f>
        <v/>
      </c>
      <c r="J246" s="6">
        <f>IF(I246="","",I246*F246*Settings!$B$3)</f>
        <v/>
      </c>
      <c r="K246" s="6" t="n"/>
      <c r="L246" s="6">
        <f>IF(J246="","",J246-K246)</f>
        <v/>
      </c>
      <c r="M246" s="6">
        <f>IF(C246="","",N245)</f>
        <v/>
      </c>
      <c r="N246" s="6">
        <f>IF(L246="","",M246+L246)</f>
        <v/>
      </c>
      <c r="O246" s="6">
        <f>IF(N246="","",MAX(Settings!$B$7,N$2:N246))</f>
        <v/>
      </c>
      <c r="P246" s="6">
        <f>IF(N246="","",N246-O246)</f>
        <v/>
      </c>
      <c r="Q246" s="2">
        <f>IF(L246="","",IF(L246&gt;0,"Win",IF(L246&lt;0,"Loss","Flat")))</f>
        <v/>
      </c>
      <c r="R246" s="2" t="n"/>
    </row>
    <row r="247">
      <c r="A247" s="2">
        <f>IF(C247&lt;&gt;"",A246+1,"")</f>
        <v/>
      </c>
      <c r="B247" s="2" t="n"/>
      <c r="C247" s="2" t="n"/>
      <c r="D247" s="2" t="n"/>
      <c r="E247" s="2" t="n"/>
      <c r="F247" s="2" t="n"/>
      <c r="G247" s="6" t="n"/>
      <c r="H247" s="6" t="n"/>
      <c r="I247" s="2">
        <f>IF(OR(E247="",G247="",H247=""),"",IF(E247="Short",G247-H247,H247-G247))</f>
        <v/>
      </c>
      <c r="J247" s="6">
        <f>IF(I247="","",I247*F247*Settings!$B$3)</f>
        <v/>
      </c>
      <c r="K247" s="6" t="n"/>
      <c r="L247" s="6">
        <f>IF(J247="","",J247-K247)</f>
        <v/>
      </c>
      <c r="M247" s="6">
        <f>IF(C247="","",N246)</f>
        <v/>
      </c>
      <c r="N247" s="6">
        <f>IF(L247="","",M247+L247)</f>
        <v/>
      </c>
      <c r="O247" s="6">
        <f>IF(N247="","",MAX(Settings!$B$7,N$2:N247))</f>
        <v/>
      </c>
      <c r="P247" s="6">
        <f>IF(N247="","",N247-O247)</f>
        <v/>
      </c>
      <c r="Q247" s="2">
        <f>IF(L247="","",IF(L247&gt;0,"Win",IF(L247&lt;0,"Loss","Flat")))</f>
        <v/>
      </c>
      <c r="R247" s="2" t="n"/>
    </row>
    <row r="248">
      <c r="A248" s="2">
        <f>IF(C248&lt;&gt;"",A247+1,"")</f>
        <v/>
      </c>
      <c r="B248" s="2" t="n"/>
      <c r="C248" s="2" t="n"/>
      <c r="D248" s="2" t="n"/>
      <c r="E248" s="2" t="n"/>
      <c r="F248" s="2" t="n"/>
      <c r="G248" s="6" t="n"/>
      <c r="H248" s="6" t="n"/>
      <c r="I248" s="2">
        <f>IF(OR(E248="",G248="",H248=""),"",IF(E248="Short",G248-H248,H248-G248))</f>
        <v/>
      </c>
      <c r="J248" s="6">
        <f>IF(I248="","",I248*F248*Settings!$B$3)</f>
        <v/>
      </c>
      <c r="K248" s="6" t="n"/>
      <c r="L248" s="6">
        <f>IF(J248="","",J248-K248)</f>
        <v/>
      </c>
      <c r="M248" s="6">
        <f>IF(C248="","",N247)</f>
        <v/>
      </c>
      <c r="N248" s="6">
        <f>IF(L248="","",M248+L248)</f>
        <v/>
      </c>
      <c r="O248" s="6">
        <f>IF(N248="","",MAX(Settings!$B$7,N$2:N248))</f>
        <v/>
      </c>
      <c r="P248" s="6">
        <f>IF(N248="","",N248-O248)</f>
        <v/>
      </c>
      <c r="Q248" s="2">
        <f>IF(L248="","",IF(L248&gt;0,"Win",IF(L248&lt;0,"Loss","Flat")))</f>
        <v/>
      </c>
      <c r="R248" s="2" t="n"/>
    </row>
    <row r="249">
      <c r="A249" s="2">
        <f>IF(C249&lt;&gt;"",A248+1,"")</f>
        <v/>
      </c>
      <c r="B249" s="2" t="n"/>
      <c r="C249" s="2" t="n"/>
      <c r="D249" s="2" t="n"/>
      <c r="E249" s="2" t="n"/>
      <c r="F249" s="2" t="n"/>
      <c r="G249" s="6" t="n"/>
      <c r="H249" s="6" t="n"/>
      <c r="I249" s="2">
        <f>IF(OR(E249="",G249="",H249=""),"",IF(E249="Short",G249-H249,H249-G249))</f>
        <v/>
      </c>
      <c r="J249" s="6">
        <f>IF(I249="","",I249*F249*Settings!$B$3)</f>
        <v/>
      </c>
      <c r="K249" s="6" t="n"/>
      <c r="L249" s="6">
        <f>IF(J249="","",J249-K249)</f>
        <v/>
      </c>
      <c r="M249" s="6">
        <f>IF(C249="","",N248)</f>
        <v/>
      </c>
      <c r="N249" s="6">
        <f>IF(L249="","",M249+L249)</f>
        <v/>
      </c>
      <c r="O249" s="6">
        <f>IF(N249="","",MAX(Settings!$B$7,N$2:N249))</f>
        <v/>
      </c>
      <c r="P249" s="6">
        <f>IF(N249="","",N249-O249)</f>
        <v/>
      </c>
      <c r="Q249" s="2">
        <f>IF(L249="","",IF(L249&gt;0,"Win",IF(L249&lt;0,"Loss","Flat")))</f>
        <v/>
      </c>
      <c r="R249" s="2" t="n"/>
    </row>
    <row r="250">
      <c r="A250" s="2">
        <f>IF(C250&lt;&gt;"",A249+1,"")</f>
        <v/>
      </c>
      <c r="B250" s="2" t="n"/>
      <c r="C250" s="2" t="n"/>
      <c r="D250" s="2" t="n"/>
      <c r="E250" s="2" t="n"/>
      <c r="F250" s="2" t="n"/>
      <c r="G250" s="6" t="n"/>
      <c r="H250" s="6" t="n"/>
      <c r="I250" s="2">
        <f>IF(OR(E250="",G250="",H250=""),"",IF(E250="Short",G250-H250,H250-G250))</f>
        <v/>
      </c>
      <c r="J250" s="6">
        <f>IF(I250="","",I250*F250*Settings!$B$3)</f>
        <v/>
      </c>
      <c r="K250" s="6" t="n"/>
      <c r="L250" s="6">
        <f>IF(J250="","",J250-K250)</f>
        <v/>
      </c>
      <c r="M250" s="6">
        <f>IF(C250="","",N249)</f>
        <v/>
      </c>
      <c r="N250" s="6">
        <f>IF(L250="","",M250+L250)</f>
        <v/>
      </c>
      <c r="O250" s="6">
        <f>IF(N250="","",MAX(Settings!$B$7,N$2:N250))</f>
        <v/>
      </c>
      <c r="P250" s="6">
        <f>IF(N250="","",N250-O250)</f>
        <v/>
      </c>
      <c r="Q250" s="2">
        <f>IF(L250="","",IF(L250&gt;0,"Win",IF(L250&lt;0,"Loss","Flat")))</f>
        <v/>
      </c>
      <c r="R250" s="2" t="n"/>
    </row>
    <row r="251">
      <c r="A251" s="2">
        <f>IF(C251&lt;&gt;"",A250+1,"")</f>
        <v/>
      </c>
      <c r="B251" s="2" t="n"/>
      <c r="C251" s="2" t="n"/>
      <c r="D251" s="2" t="n"/>
      <c r="E251" s="2" t="n"/>
      <c r="F251" s="2" t="n"/>
      <c r="G251" s="6" t="n"/>
      <c r="H251" s="6" t="n"/>
      <c r="I251" s="2">
        <f>IF(OR(E251="",G251="",H251=""),"",IF(E251="Short",G251-H251,H251-G251))</f>
        <v/>
      </c>
      <c r="J251" s="6">
        <f>IF(I251="","",I251*F251*Settings!$B$3)</f>
        <v/>
      </c>
      <c r="K251" s="6" t="n"/>
      <c r="L251" s="6">
        <f>IF(J251="","",J251-K251)</f>
        <v/>
      </c>
      <c r="M251" s="6">
        <f>IF(C251="","",N250)</f>
        <v/>
      </c>
      <c r="N251" s="6">
        <f>IF(L251="","",M251+L251)</f>
        <v/>
      </c>
      <c r="O251" s="6">
        <f>IF(N251="","",MAX(Settings!$B$7,N$2:N251))</f>
        <v/>
      </c>
      <c r="P251" s="6">
        <f>IF(N251="","",N251-O251)</f>
        <v/>
      </c>
      <c r="Q251" s="2">
        <f>IF(L251="","",IF(L251&gt;0,"Win",IF(L251&lt;0,"Loss","Flat")))</f>
        <v/>
      </c>
      <c r="R251" s="2" t="n"/>
    </row>
    <row r="252">
      <c r="A252" s="2">
        <f>IF(C252&lt;&gt;"",A251+1,"")</f>
        <v/>
      </c>
      <c r="B252" s="2" t="n"/>
      <c r="C252" s="2" t="n"/>
      <c r="D252" s="2" t="n"/>
      <c r="E252" s="2" t="n"/>
      <c r="F252" s="2" t="n"/>
      <c r="G252" s="6" t="n"/>
      <c r="H252" s="6" t="n"/>
      <c r="I252" s="2">
        <f>IF(OR(E252="",G252="",H252=""),"",IF(E252="Short",G252-H252,H252-G252))</f>
        <v/>
      </c>
      <c r="J252" s="6">
        <f>IF(I252="","",I252*F252*Settings!$B$3)</f>
        <v/>
      </c>
      <c r="K252" s="6" t="n"/>
      <c r="L252" s="6">
        <f>IF(J252="","",J252-K252)</f>
        <v/>
      </c>
      <c r="M252" s="6">
        <f>IF(C252="","",N251)</f>
        <v/>
      </c>
      <c r="N252" s="6">
        <f>IF(L252="","",M252+L252)</f>
        <v/>
      </c>
      <c r="O252" s="6">
        <f>IF(N252="","",MAX(Settings!$B$7,N$2:N252))</f>
        <v/>
      </c>
      <c r="P252" s="6">
        <f>IF(N252="","",N252-O252)</f>
        <v/>
      </c>
      <c r="Q252" s="2">
        <f>IF(L252="","",IF(L252&gt;0,"Win",IF(L252&lt;0,"Loss","Flat")))</f>
        <v/>
      </c>
      <c r="R252" s="2" t="n"/>
    </row>
    <row r="253">
      <c r="A253" s="2">
        <f>IF(C253&lt;&gt;"",A252+1,"")</f>
        <v/>
      </c>
      <c r="B253" s="2" t="n"/>
      <c r="C253" s="2" t="n"/>
      <c r="D253" s="2" t="n"/>
      <c r="E253" s="2" t="n"/>
      <c r="F253" s="2" t="n"/>
      <c r="G253" s="6" t="n"/>
      <c r="H253" s="6" t="n"/>
      <c r="I253" s="2">
        <f>IF(OR(E253="",G253="",H253=""),"",IF(E253="Short",G253-H253,H253-G253))</f>
        <v/>
      </c>
      <c r="J253" s="6">
        <f>IF(I253="","",I253*F253*Settings!$B$3)</f>
        <v/>
      </c>
      <c r="K253" s="6" t="n"/>
      <c r="L253" s="6">
        <f>IF(J253="","",J253-K253)</f>
        <v/>
      </c>
      <c r="M253" s="6">
        <f>IF(C253="","",N252)</f>
        <v/>
      </c>
      <c r="N253" s="6">
        <f>IF(L253="","",M253+L253)</f>
        <v/>
      </c>
      <c r="O253" s="6">
        <f>IF(N253="","",MAX(Settings!$B$7,N$2:N253))</f>
        <v/>
      </c>
      <c r="P253" s="6">
        <f>IF(N253="","",N253-O253)</f>
        <v/>
      </c>
      <c r="Q253" s="2">
        <f>IF(L253="","",IF(L253&gt;0,"Win",IF(L253&lt;0,"Loss","Flat")))</f>
        <v/>
      </c>
      <c r="R253" s="2" t="n"/>
    </row>
    <row r="254">
      <c r="A254" s="2">
        <f>IF(C254&lt;&gt;"",A253+1,"")</f>
        <v/>
      </c>
      <c r="B254" s="2" t="n"/>
      <c r="C254" s="2" t="n"/>
      <c r="D254" s="2" t="n"/>
      <c r="E254" s="2" t="n"/>
      <c r="F254" s="2" t="n"/>
      <c r="G254" s="6" t="n"/>
      <c r="H254" s="6" t="n"/>
      <c r="I254" s="2">
        <f>IF(OR(E254="",G254="",H254=""),"",IF(E254="Short",G254-H254,H254-G254))</f>
        <v/>
      </c>
      <c r="J254" s="6">
        <f>IF(I254="","",I254*F254*Settings!$B$3)</f>
        <v/>
      </c>
      <c r="K254" s="6" t="n"/>
      <c r="L254" s="6">
        <f>IF(J254="","",J254-K254)</f>
        <v/>
      </c>
      <c r="M254" s="6">
        <f>IF(C254="","",N253)</f>
        <v/>
      </c>
      <c r="N254" s="6">
        <f>IF(L254="","",M254+L254)</f>
        <v/>
      </c>
      <c r="O254" s="6">
        <f>IF(N254="","",MAX(Settings!$B$7,N$2:N254))</f>
        <v/>
      </c>
      <c r="P254" s="6">
        <f>IF(N254="","",N254-O254)</f>
        <v/>
      </c>
      <c r="Q254" s="2">
        <f>IF(L254="","",IF(L254&gt;0,"Win",IF(L254&lt;0,"Loss","Flat")))</f>
        <v/>
      </c>
      <c r="R254" s="2" t="n"/>
    </row>
    <row r="255">
      <c r="A255" s="2">
        <f>IF(C255&lt;&gt;"",A254+1,"")</f>
        <v/>
      </c>
      <c r="B255" s="2" t="n"/>
      <c r="C255" s="2" t="n"/>
      <c r="D255" s="2" t="n"/>
      <c r="E255" s="2" t="n"/>
      <c r="F255" s="2" t="n"/>
      <c r="G255" s="6" t="n"/>
      <c r="H255" s="6" t="n"/>
      <c r="I255" s="2">
        <f>IF(OR(E255="",G255="",H255=""),"",IF(E255="Short",G255-H255,H255-G255))</f>
        <v/>
      </c>
      <c r="J255" s="6">
        <f>IF(I255="","",I255*F255*Settings!$B$3)</f>
        <v/>
      </c>
      <c r="K255" s="6" t="n"/>
      <c r="L255" s="6">
        <f>IF(J255="","",J255-K255)</f>
        <v/>
      </c>
      <c r="M255" s="6">
        <f>IF(C255="","",N254)</f>
        <v/>
      </c>
      <c r="N255" s="6">
        <f>IF(L255="","",M255+L255)</f>
        <v/>
      </c>
      <c r="O255" s="6">
        <f>IF(N255="","",MAX(Settings!$B$7,N$2:N255))</f>
        <v/>
      </c>
      <c r="P255" s="6">
        <f>IF(N255="","",N255-O255)</f>
        <v/>
      </c>
      <c r="Q255" s="2">
        <f>IF(L255="","",IF(L255&gt;0,"Win",IF(L255&lt;0,"Loss","Flat")))</f>
        <v/>
      </c>
      <c r="R255" s="2" t="n"/>
    </row>
    <row r="256">
      <c r="A256" s="2">
        <f>IF(C256&lt;&gt;"",A255+1,"")</f>
        <v/>
      </c>
      <c r="B256" s="2" t="n"/>
      <c r="C256" s="2" t="n"/>
      <c r="D256" s="2" t="n"/>
      <c r="E256" s="2" t="n"/>
      <c r="F256" s="2" t="n"/>
      <c r="G256" s="6" t="n"/>
      <c r="H256" s="6" t="n"/>
      <c r="I256" s="2">
        <f>IF(OR(E256="",G256="",H256=""),"",IF(E256="Short",G256-H256,H256-G256))</f>
        <v/>
      </c>
      <c r="J256" s="6">
        <f>IF(I256="","",I256*F256*Settings!$B$3)</f>
        <v/>
      </c>
      <c r="K256" s="6" t="n"/>
      <c r="L256" s="6">
        <f>IF(J256="","",J256-K256)</f>
        <v/>
      </c>
      <c r="M256" s="6">
        <f>IF(C256="","",N255)</f>
        <v/>
      </c>
      <c r="N256" s="6">
        <f>IF(L256="","",M256+L256)</f>
        <v/>
      </c>
      <c r="O256" s="6">
        <f>IF(N256="","",MAX(Settings!$B$7,N$2:N256))</f>
        <v/>
      </c>
      <c r="P256" s="6">
        <f>IF(N256="","",N256-O256)</f>
        <v/>
      </c>
      <c r="Q256" s="2">
        <f>IF(L256="","",IF(L256&gt;0,"Win",IF(L256&lt;0,"Loss","Flat")))</f>
        <v/>
      </c>
      <c r="R256" s="2" t="n"/>
    </row>
    <row r="257">
      <c r="A257" s="2">
        <f>IF(C257&lt;&gt;"",A256+1,"")</f>
        <v/>
      </c>
      <c r="B257" s="2" t="n"/>
      <c r="C257" s="2" t="n"/>
      <c r="D257" s="2" t="n"/>
      <c r="E257" s="2" t="n"/>
      <c r="F257" s="2" t="n"/>
      <c r="G257" s="6" t="n"/>
      <c r="H257" s="6" t="n"/>
      <c r="I257" s="2">
        <f>IF(OR(E257="",G257="",H257=""),"",IF(E257="Short",G257-H257,H257-G257))</f>
        <v/>
      </c>
      <c r="J257" s="6">
        <f>IF(I257="","",I257*F257*Settings!$B$3)</f>
        <v/>
      </c>
      <c r="K257" s="6" t="n"/>
      <c r="L257" s="6">
        <f>IF(J257="","",J257-K257)</f>
        <v/>
      </c>
      <c r="M257" s="6">
        <f>IF(C257="","",N256)</f>
        <v/>
      </c>
      <c r="N257" s="6">
        <f>IF(L257="","",M257+L257)</f>
        <v/>
      </c>
      <c r="O257" s="6">
        <f>IF(N257="","",MAX(Settings!$B$7,N$2:N257))</f>
        <v/>
      </c>
      <c r="P257" s="6">
        <f>IF(N257="","",N257-O257)</f>
        <v/>
      </c>
      <c r="Q257" s="2">
        <f>IF(L257="","",IF(L257&gt;0,"Win",IF(L257&lt;0,"Loss","Flat")))</f>
        <v/>
      </c>
      <c r="R257" s="2" t="n"/>
    </row>
    <row r="258">
      <c r="A258" s="2">
        <f>IF(C258&lt;&gt;"",A257+1,"")</f>
        <v/>
      </c>
      <c r="B258" s="2" t="n"/>
      <c r="C258" s="2" t="n"/>
      <c r="D258" s="2" t="n"/>
      <c r="E258" s="2" t="n"/>
      <c r="F258" s="2" t="n"/>
      <c r="G258" s="6" t="n"/>
      <c r="H258" s="6" t="n"/>
      <c r="I258" s="2">
        <f>IF(OR(E258="",G258="",H258=""),"",IF(E258="Short",G258-H258,H258-G258))</f>
        <v/>
      </c>
      <c r="J258" s="6">
        <f>IF(I258="","",I258*F258*Settings!$B$3)</f>
        <v/>
      </c>
      <c r="K258" s="6" t="n"/>
      <c r="L258" s="6">
        <f>IF(J258="","",J258-K258)</f>
        <v/>
      </c>
      <c r="M258" s="6">
        <f>IF(C258="","",N257)</f>
        <v/>
      </c>
      <c r="N258" s="6">
        <f>IF(L258="","",M258+L258)</f>
        <v/>
      </c>
      <c r="O258" s="6">
        <f>IF(N258="","",MAX(Settings!$B$7,N$2:N258))</f>
        <v/>
      </c>
      <c r="P258" s="6">
        <f>IF(N258="","",N258-O258)</f>
        <v/>
      </c>
      <c r="Q258" s="2">
        <f>IF(L258="","",IF(L258&gt;0,"Win",IF(L258&lt;0,"Loss","Flat")))</f>
        <v/>
      </c>
      <c r="R258" s="2" t="n"/>
    </row>
    <row r="259">
      <c r="A259" s="2">
        <f>IF(C259&lt;&gt;"",A258+1,"")</f>
        <v/>
      </c>
      <c r="B259" s="2" t="n"/>
      <c r="C259" s="2" t="n"/>
      <c r="D259" s="2" t="n"/>
      <c r="E259" s="2" t="n"/>
      <c r="F259" s="2" t="n"/>
      <c r="G259" s="6" t="n"/>
      <c r="H259" s="6" t="n"/>
      <c r="I259" s="2">
        <f>IF(OR(E259="",G259="",H259=""),"",IF(E259="Short",G259-H259,H259-G259))</f>
        <v/>
      </c>
      <c r="J259" s="6">
        <f>IF(I259="","",I259*F259*Settings!$B$3)</f>
        <v/>
      </c>
      <c r="K259" s="6" t="n"/>
      <c r="L259" s="6">
        <f>IF(J259="","",J259-K259)</f>
        <v/>
      </c>
      <c r="M259" s="6">
        <f>IF(C259="","",N258)</f>
        <v/>
      </c>
      <c r="N259" s="6">
        <f>IF(L259="","",M259+L259)</f>
        <v/>
      </c>
      <c r="O259" s="6">
        <f>IF(N259="","",MAX(Settings!$B$7,N$2:N259))</f>
        <v/>
      </c>
      <c r="P259" s="6">
        <f>IF(N259="","",N259-O259)</f>
        <v/>
      </c>
      <c r="Q259" s="2">
        <f>IF(L259="","",IF(L259&gt;0,"Win",IF(L259&lt;0,"Loss","Flat")))</f>
        <v/>
      </c>
      <c r="R259" s="2" t="n"/>
    </row>
    <row r="260">
      <c r="A260" s="2">
        <f>IF(C260&lt;&gt;"",A259+1,"")</f>
        <v/>
      </c>
      <c r="B260" s="2" t="n"/>
      <c r="C260" s="2" t="n"/>
      <c r="D260" s="2" t="n"/>
      <c r="E260" s="2" t="n"/>
      <c r="F260" s="2" t="n"/>
      <c r="G260" s="6" t="n"/>
      <c r="H260" s="6" t="n"/>
      <c r="I260" s="2">
        <f>IF(OR(E260="",G260="",H260=""),"",IF(E260="Short",G260-H260,H260-G260))</f>
        <v/>
      </c>
      <c r="J260" s="6">
        <f>IF(I260="","",I260*F260*Settings!$B$3)</f>
        <v/>
      </c>
      <c r="K260" s="6" t="n"/>
      <c r="L260" s="6">
        <f>IF(J260="","",J260-K260)</f>
        <v/>
      </c>
      <c r="M260" s="6">
        <f>IF(C260="","",N259)</f>
        <v/>
      </c>
      <c r="N260" s="6">
        <f>IF(L260="","",M260+L260)</f>
        <v/>
      </c>
      <c r="O260" s="6">
        <f>IF(N260="","",MAX(Settings!$B$7,N$2:N260))</f>
        <v/>
      </c>
      <c r="P260" s="6">
        <f>IF(N260="","",N260-O260)</f>
        <v/>
      </c>
      <c r="Q260" s="2">
        <f>IF(L260="","",IF(L260&gt;0,"Win",IF(L260&lt;0,"Loss","Flat")))</f>
        <v/>
      </c>
      <c r="R260" s="2" t="n"/>
    </row>
    <row r="261">
      <c r="A261" s="2">
        <f>IF(C261&lt;&gt;"",A260+1,"")</f>
        <v/>
      </c>
      <c r="B261" s="2" t="n"/>
      <c r="C261" s="2" t="n"/>
      <c r="D261" s="2" t="n"/>
      <c r="E261" s="2" t="n"/>
      <c r="F261" s="2" t="n"/>
      <c r="G261" s="6" t="n"/>
      <c r="H261" s="6" t="n"/>
      <c r="I261" s="2">
        <f>IF(OR(E261="",G261="",H261=""),"",IF(E261="Short",G261-H261,H261-G261))</f>
        <v/>
      </c>
      <c r="J261" s="6">
        <f>IF(I261="","",I261*F261*Settings!$B$3)</f>
        <v/>
      </c>
      <c r="K261" s="6" t="n"/>
      <c r="L261" s="6">
        <f>IF(J261="","",J261-K261)</f>
        <v/>
      </c>
      <c r="M261" s="6">
        <f>IF(C261="","",N260)</f>
        <v/>
      </c>
      <c r="N261" s="6">
        <f>IF(L261="","",M261+L261)</f>
        <v/>
      </c>
      <c r="O261" s="6">
        <f>IF(N261="","",MAX(Settings!$B$7,N$2:N261))</f>
        <v/>
      </c>
      <c r="P261" s="6">
        <f>IF(N261="","",N261-O261)</f>
        <v/>
      </c>
      <c r="Q261" s="2">
        <f>IF(L261="","",IF(L261&gt;0,"Win",IF(L261&lt;0,"Loss","Flat")))</f>
        <v/>
      </c>
      <c r="R261" s="2" t="n"/>
    </row>
    <row r="262">
      <c r="A262" s="2">
        <f>IF(C262&lt;&gt;"",A261+1,"")</f>
        <v/>
      </c>
      <c r="B262" s="2" t="n"/>
      <c r="C262" s="2" t="n"/>
      <c r="D262" s="2" t="n"/>
      <c r="E262" s="2" t="n"/>
      <c r="F262" s="2" t="n"/>
      <c r="G262" s="6" t="n"/>
      <c r="H262" s="6" t="n"/>
      <c r="I262" s="2">
        <f>IF(OR(E262="",G262="",H262=""),"",IF(E262="Short",G262-H262,H262-G262))</f>
        <v/>
      </c>
      <c r="J262" s="6">
        <f>IF(I262="","",I262*F262*Settings!$B$3)</f>
        <v/>
      </c>
      <c r="K262" s="6" t="n"/>
      <c r="L262" s="6">
        <f>IF(J262="","",J262-K262)</f>
        <v/>
      </c>
      <c r="M262" s="6">
        <f>IF(C262="","",N261)</f>
        <v/>
      </c>
      <c r="N262" s="6">
        <f>IF(L262="","",M262+L262)</f>
        <v/>
      </c>
      <c r="O262" s="6">
        <f>IF(N262="","",MAX(Settings!$B$7,N$2:N262))</f>
        <v/>
      </c>
      <c r="P262" s="6">
        <f>IF(N262="","",N262-O262)</f>
        <v/>
      </c>
      <c r="Q262" s="2">
        <f>IF(L262="","",IF(L262&gt;0,"Win",IF(L262&lt;0,"Loss","Flat")))</f>
        <v/>
      </c>
      <c r="R262" s="2" t="n"/>
    </row>
    <row r="263">
      <c r="A263" s="2">
        <f>IF(C263&lt;&gt;"",A262+1,"")</f>
        <v/>
      </c>
      <c r="B263" s="2" t="n"/>
      <c r="C263" s="2" t="n"/>
      <c r="D263" s="2" t="n"/>
      <c r="E263" s="2" t="n"/>
      <c r="F263" s="2" t="n"/>
      <c r="G263" s="6" t="n"/>
      <c r="H263" s="6" t="n"/>
      <c r="I263" s="2">
        <f>IF(OR(E263="",G263="",H263=""),"",IF(E263="Short",G263-H263,H263-G263))</f>
        <v/>
      </c>
      <c r="J263" s="6">
        <f>IF(I263="","",I263*F263*Settings!$B$3)</f>
        <v/>
      </c>
      <c r="K263" s="6" t="n"/>
      <c r="L263" s="6">
        <f>IF(J263="","",J263-K263)</f>
        <v/>
      </c>
      <c r="M263" s="6">
        <f>IF(C263="","",N262)</f>
        <v/>
      </c>
      <c r="N263" s="6">
        <f>IF(L263="","",M263+L263)</f>
        <v/>
      </c>
      <c r="O263" s="6">
        <f>IF(N263="","",MAX(Settings!$B$7,N$2:N263))</f>
        <v/>
      </c>
      <c r="P263" s="6">
        <f>IF(N263="","",N263-O263)</f>
        <v/>
      </c>
      <c r="Q263" s="2">
        <f>IF(L263="","",IF(L263&gt;0,"Win",IF(L263&lt;0,"Loss","Flat")))</f>
        <v/>
      </c>
      <c r="R263" s="2" t="n"/>
    </row>
    <row r="264">
      <c r="A264" s="2">
        <f>IF(C264&lt;&gt;"",A263+1,"")</f>
        <v/>
      </c>
      <c r="B264" s="2" t="n"/>
      <c r="C264" s="2" t="n"/>
      <c r="D264" s="2" t="n"/>
      <c r="E264" s="2" t="n"/>
      <c r="F264" s="2" t="n"/>
      <c r="G264" s="6" t="n"/>
      <c r="H264" s="6" t="n"/>
      <c r="I264" s="2">
        <f>IF(OR(E264="",G264="",H264=""),"",IF(E264="Short",G264-H264,H264-G264))</f>
        <v/>
      </c>
      <c r="J264" s="6">
        <f>IF(I264="","",I264*F264*Settings!$B$3)</f>
        <v/>
      </c>
      <c r="K264" s="6" t="n"/>
      <c r="L264" s="6">
        <f>IF(J264="","",J264-K264)</f>
        <v/>
      </c>
      <c r="M264" s="6">
        <f>IF(C264="","",N263)</f>
        <v/>
      </c>
      <c r="N264" s="6">
        <f>IF(L264="","",M264+L264)</f>
        <v/>
      </c>
      <c r="O264" s="6">
        <f>IF(N264="","",MAX(Settings!$B$7,N$2:N264))</f>
        <v/>
      </c>
      <c r="P264" s="6">
        <f>IF(N264="","",N264-O264)</f>
        <v/>
      </c>
      <c r="Q264" s="2">
        <f>IF(L264="","",IF(L264&gt;0,"Win",IF(L264&lt;0,"Loss","Flat")))</f>
        <v/>
      </c>
      <c r="R264" s="2" t="n"/>
    </row>
    <row r="265">
      <c r="A265" s="2">
        <f>IF(C265&lt;&gt;"",A264+1,"")</f>
        <v/>
      </c>
      <c r="B265" s="2" t="n"/>
      <c r="C265" s="2" t="n"/>
      <c r="D265" s="2" t="n"/>
      <c r="E265" s="2" t="n"/>
      <c r="F265" s="2" t="n"/>
      <c r="G265" s="6" t="n"/>
      <c r="H265" s="6" t="n"/>
      <c r="I265" s="2">
        <f>IF(OR(E265="",G265="",H265=""),"",IF(E265="Short",G265-H265,H265-G265))</f>
        <v/>
      </c>
      <c r="J265" s="6">
        <f>IF(I265="","",I265*F265*Settings!$B$3)</f>
        <v/>
      </c>
      <c r="K265" s="6" t="n"/>
      <c r="L265" s="6">
        <f>IF(J265="","",J265-K265)</f>
        <v/>
      </c>
      <c r="M265" s="6">
        <f>IF(C265="","",N264)</f>
        <v/>
      </c>
      <c r="N265" s="6">
        <f>IF(L265="","",M265+L265)</f>
        <v/>
      </c>
      <c r="O265" s="6">
        <f>IF(N265="","",MAX(Settings!$B$7,N$2:N265))</f>
        <v/>
      </c>
      <c r="P265" s="6">
        <f>IF(N265="","",N265-O265)</f>
        <v/>
      </c>
      <c r="Q265" s="2">
        <f>IF(L265="","",IF(L265&gt;0,"Win",IF(L265&lt;0,"Loss","Flat")))</f>
        <v/>
      </c>
      <c r="R265" s="2" t="n"/>
    </row>
    <row r="266">
      <c r="A266" s="2">
        <f>IF(C266&lt;&gt;"",A265+1,"")</f>
        <v/>
      </c>
      <c r="B266" s="2" t="n"/>
      <c r="C266" s="2" t="n"/>
      <c r="D266" s="2" t="n"/>
      <c r="E266" s="2" t="n"/>
      <c r="F266" s="2" t="n"/>
      <c r="G266" s="6" t="n"/>
      <c r="H266" s="6" t="n"/>
      <c r="I266" s="2">
        <f>IF(OR(E266="",G266="",H266=""),"",IF(E266="Short",G266-H266,H266-G266))</f>
        <v/>
      </c>
      <c r="J266" s="6">
        <f>IF(I266="","",I266*F266*Settings!$B$3)</f>
        <v/>
      </c>
      <c r="K266" s="6" t="n"/>
      <c r="L266" s="6">
        <f>IF(J266="","",J266-K266)</f>
        <v/>
      </c>
      <c r="M266" s="6">
        <f>IF(C266="","",N265)</f>
        <v/>
      </c>
      <c r="N266" s="6">
        <f>IF(L266="","",M266+L266)</f>
        <v/>
      </c>
      <c r="O266" s="6">
        <f>IF(N266="","",MAX(Settings!$B$7,N$2:N266))</f>
        <v/>
      </c>
      <c r="P266" s="6">
        <f>IF(N266="","",N266-O266)</f>
        <v/>
      </c>
      <c r="Q266" s="2">
        <f>IF(L266="","",IF(L266&gt;0,"Win",IF(L266&lt;0,"Loss","Flat")))</f>
        <v/>
      </c>
      <c r="R266" s="2" t="n"/>
    </row>
    <row r="267">
      <c r="A267" s="2">
        <f>IF(C267&lt;&gt;"",A266+1,"")</f>
        <v/>
      </c>
      <c r="B267" s="2" t="n"/>
      <c r="C267" s="2" t="n"/>
      <c r="D267" s="2" t="n"/>
      <c r="E267" s="2" t="n"/>
      <c r="F267" s="2" t="n"/>
      <c r="G267" s="6" t="n"/>
      <c r="H267" s="6" t="n"/>
      <c r="I267" s="2">
        <f>IF(OR(E267="",G267="",H267=""),"",IF(E267="Short",G267-H267,H267-G267))</f>
        <v/>
      </c>
      <c r="J267" s="6">
        <f>IF(I267="","",I267*F267*Settings!$B$3)</f>
        <v/>
      </c>
      <c r="K267" s="6" t="n"/>
      <c r="L267" s="6">
        <f>IF(J267="","",J267-K267)</f>
        <v/>
      </c>
      <c r="M267" s="6">
        <f>IF(C267="","",N266)</f>
        <v/>
      </c>
      <c r="N267" s="6">
        <f>IF(L267="","",M267+L267)</f>
        <v/>
      </c>
      <c r="O267" s="6">
        <f>IF(N267="","",MAX(Settings!$B$7,N$2:N267))</f>
        <v/>
      </c>
      <c r="P267" s="6">
        <f>IF(N267="","",N267-O267)</f>
        <v/>
      </c>
      <c r="Q267" s="2">
        <f>IF(L267="","",IF(L267&gt;0,"Win",IF(L267&lt;0,"Loss","Flat")))</f>
        <v/>
      </c>
      <c r="R267" s="2" t="n"/>
    </row>
    <row r="268">
      <c r="A268" s="2">
        <f>IF(C268&lt;&gt;"",A267+1,"")</f>
        <v/>
      </c>
      <c r="B268" s="2" t="n"/>
      <c r="C268" s="2" t="n"/>
      <c r="D268" s="2" t="n"/>
      <c r="E268" s="2" t="n"/>
      <c r="F268" s="2" t="n"/>
      <c r="G268" s="6" t="n"/>
      <c r="H268" s="6" t="n"/>
      <c r="I268" s="2">
        <f>IF(OR(E268="",G268="",H268=""),"",IF(E268="Short",G268-H268,H268-G268))</f>
        <v/>
      </c>
      <c r="J268" s="6">
        <f>IF(I268="","",I268*F268*Settings!$B$3)</f>
        <v/>
      </c>
      <c r="K268" s="6" t="n"/>
      <c r="L268" s="6">
        <f>IF(J268="","",J268-K268)</f>
        <v/>
      </c>
      <c r="M268" s="6">
        <f>IF(C268="","",N267)</f>
        <v/>
      </c>
      <c r="N268" s="6">
        <f>IF(L268="","",M268+L268)</f>
        <v/>
      </c>
      <c r="O268" s="6">
        <f>IF(N268="","",MAX(Settings!$B$7,N$2:N268))</f>
        <v/>
      </c>
      <c r="P268" s="6">
        <f>IF(N268="","",N268-O268)</f>
        <v/>
      </c>
      <c r="Q268" s="2">
        <f>IF(L268="","",IF(L268&gt;0,"Win",IF(L268&lt;0,"Loss","Flat")))</f>
        <v/>
      </c>
      <c r="R268" s="2" t="n"/>
    </row>
    <row r="269">
      <c r="A269" s="2">
        <f>IF(C269&lt;&gt;"",A268+1,"")</f>
        <v/>
      </c>
      <c r="B269" s="2" t="n"/>
      <c r="C269" s="2" t="n"/>
      <c r="D269" s="2" t="n"/>
      <c r="E269" s="2" t="n"/>
      <c r="F269" s="2" t="n"/>
      <c r="G269" s="6" t="n"/>
      <c r="H269" s="6" t="n"/>
      <c r="I269" s="2">
        <f>IF(OR(E269="",G269="",H269=""),"",IF(E269="Short",G269-H269,H269-G269))</f>
        <v/>
      </c>
      <c r="J269" s="6">
        <f>IF(I269="","",I269*F269*Settings!$B$3)</f>
        <v/>
      </c>
      <c r="K269" s="6" t="n"/>
      <c r="L269" s="6">
        <f>IF(J269="","",J269-K269)</f>
        <v/>
      </c>
      <c r="M269" s="6">
        <f>IF(C269="","",N268)</f>
        <v/>
      </c>
      <c r="N269" s="6">
        <f>IF(L269="","",M269+L269)</f>
        <v/>
      </c>
      <c r="O269" s="6">
        <f>IF(N269="","",MAX(Settings!$B$7,N$2:N269))</f>
        <v/>
      </c>
      <c r="P269" s="6">
        <f>IF(N269="","",N269-O269)</f>
        <v/>
      </c>
      <c r="Q269" s="2">
        <f>IF(L269="","",IF(L269&gt;0,"Win",IF(L269&lt;0,"Loss","Flat")))</f>
        <v/>
      </c>
      <c r="R269" s="2" t="n"/>
    </row>
    <row r="270">
      <c r="A270" s="2">
        <f>IF(C270&lt;&gt;"",A269+1,"")</f>
        <v/>
      </c>
      <c r="B270" s="2" t="n"/>
      <c r="C270" s="2" t="n"/>
      <c r="D270" s="2" t="n"/>
      <c r="E270" s="2" t="n"/>
      <c r="F270" s="2" t="n"/>
      <c r="G270" s="6" t="n"/>
      <c r="H270" s="6" t="n"/>
      <c r="I270" s="2">
        <f>IF(OR(E270="",G270="",H270=""),"",IF(E270="Short",G270-H270,H270-G270))</f>
        <v/>
      </c>
      <c r="J270" s="6">
        <f>IF(I270="","",I270*F270*Settings!$B$3)</f>
        <v/>
      </c>
      <c r="K270" s="6" t="n"/>
      <c r="L270" s="6">
        <f>IF(J270="","",J270-K270)</f>
        <v/>
      </c>
      <c r="M270" s="6">
        <f>IF(C270="","",N269)</f>
        <v/>
      </c>
      <c r="N270" s="6">
        <f>IF(L270="","",M270+L270)</f>
        <v/>
      </c>
      <c r="O270" s="6">
        <f>IF(N270="","",MAX(Settings!$B$7,N$2:N270))</f>
        <v/>
      </c>
      <c r="P270" s="6">
        <f>IF(N270="","",N270-O270)</f>
        <v/>
      </c>
      <c r="Q270" s="2">
        <f>IF(L270="","",IF(L270&gt;0,"Win",IF(L270&lt;0,"Loss","Flat")))</f>
        <v/>
      </c>
      <c r="R270" s="2" t="n"/>
    </row>
    <row r="271">
      <c r="A271" s="2">
        <f>IF(C271&lt;&gt;"",A270+1,"")</f>
        <v/>
      </c>
      <c r="B271" s="2" t="n"/>
      <c r="C271" s="2" t="n"/>
      <c r="D271" s="2" t="n"/>
      <c r="E271" s="2" t="n"/>
      <c r="F271" s="2" t="n"/>
      <c r="G271" s="6" t="n"/>
      <c r="H271" s="6" t="n"/>
      <c r="I271" s="2">
        <f>IF(OR(E271="",G271="",H271=""),"",IF(E271="Short",G271-H271,H271-G271))</f>
        <v/>
      </c>
      <c r="J271" s="6">
        <f>IF(I271="","",I271*F271*Settings!$B$3)</f>
        <v/>
      </c>
      <c r="K271" s="6" t="n"/>
      <c r="L271" s="6">
        <f>IF(J271="","",J271-K271)</f>
        <v/>
      </c>
      <c r="M271" s="6">
        <f>IF(C271="","",N270)</f>
        <v/>
      </c>
      <c r="N271" s="6">
        <f>IF(L271="","",M271+L271)</f>
        <v/>
      </c>
      <c r="O271" s="6">
        <f>IF(N271="","",MAX(Settings!$B$7,N$2:N271))</f>
        <v/>
      </c>
      <c r="P271" s="6">
        <f>IF(N271="","",N271-O271)</f>
        <v/>
      </c>
      <c r="Q271" s="2">
        <f>IF(L271="","",IF(L271&gt;0,"Win",IF(L271&lt;0,"Loss","Flat")))</f>
        <v/>
      </c>
      <c r="R271" s="2" t="n"/>
    </row>
    <row r="272">
      <c r="A272" s="2">
        <f>IF(C272&lt;&gt;"",A271+1,"")</f>
        <v/>
      </c>
      <c r="B272" s="2" t="n"/>
      <c r="C272" s="2" t="n"/>
      <c r="D272" s="2" t="n"/>
      <c r="E272" s="2" t="n"/>
      <c r="F272" s="2" t="n"/>
      <c r="G272" s="6" t="n"/>
      <c r="H272" s="6" t="n"/>
      <c r="I272" s="2">
        <f>IF(OR(E272="",G272="",H272=""),"",IF(E272="Short",G272-H272,H272-G272))</f>
        <v/>
      </c>
      <c r="J272" s="6">
        <f>IF(I272="","",I272*F272*Settings!$B$3)</f>
        <v/>
      </c>
      <c r="K272" s="6" t="n"/>
      <c r="L272" s="6">
        <f>IF(J272="","",J272-K272)</f>
        <v/>
      </c>
      <c r="M272" s="6">
        <f>IF(C272="","",N271)</f>
        <v/>
      </c>
      <c r="N272" s="6">
        <f>IF(L272="","",M272+L272)</f>
        <v/>
      </c>
      <c r="O272" s="6">
        <f>IF(N272="","",MAX(Settings!$B$7,N$2:N272))</f>
        <v/>
      </c>
      <c r="P272" s="6">
        <f>IF(N272="","",N272-O272)</f>
        <v/>
      </c>
      <c r="Q272" s="2">
        <f>IF(L272="","",IF(L272&gt;0,"Win",IF(L272&lt;0,"Loss","Flat")))</f>
        <v/>
      </c>
      <c r="R272" s="2" t="n"/>
    </row>
    <row r="273">
      <c r="A273" s="2">
        <f>IF(C273&lt;&gt;"",A272+1,"")</f>
        <v/>
      </c>
      <c r="B273" s="2" t="n"/>
      <c r="C273" s="2" t="n"/>
      <c r="D273" s="2" t="n"/>
      <c r="E273" s="2" t="n"/>
      <c r="F273" s="2" t="n"/>
      <c r="G273" s="6" t="n"/>
      <c r="H273" s="6" t="n"/>
      <c r="I273" s="2">
        <f>IF(OR(E273="",G273="",H273=""),"",IF(E273="Short",G273-H273,H273-G273))</f>
        <v/>
      </c>
      <c r="J273" s="6">
        <f>IF(I273="","",I273*F273*Settings!$B$3)</f>
        <v/>
      </c>
      <c r="K273" s="6" t="n"/>
      <c r="L273" s="6">
        <f>IF(J273="","",J273-K273)</f>
        <v/>
      </c>
      <c r="M273" s="6">
        <f>IF(C273="","",N272)</f>
        <v/>
      </c>
      <c r="N273" s="6">
        <f>IF(L273="","",M273+L273)</f>
        <v/>
      </c>
      <c r="O273" s="6">
        <f>IF(N273="","",MAX(Settings!$B$7,N$2:N273))</f>
        <v/>
      </c>
      <c r="P273" s="6">
        <f>IF(N273="","",N273-O273)</f>
        <v/>
      </c>
      <c r="Q273" s="2">
        <f>IF(L273="","",IF(L273&gt;0,"Win",IF(L273&lt;0,"Loss","Flat")))</f>
        <v/>
      </c>
      <c r="R273" s="2" t="n"/>
    </row>
    <row r="274">
      <c r="A274" s="2">
        <f>IF(C274&lt;&gt;"",A273+1,"")</f>
        <v/>
      </c>
      <c r="B274" s="2" t="n"/>
      <c r="C274" s="2" t="n"/>
      <c r="D274" s="2" t="n"/>
      <c r="E274" s="2" t="n"/>
      <c r="F274" s="2" t="n"/>
      <c r="G274" s="6" t="n"/>
      <c r="H274" s="6" t="n"/>
      <c r="I274" s="2">
        <f>IF(OR(E274="",G274="",H274=""),"",IF(E274="Short",G274-H274,H274-G274))</f>
        <v/>
      </c>
      <c r="J274" s="6">
        <f>IF(I274="","",I274*F274*Settings!$B$3)</f>
        <v/>
      </c>
      <c r="K274" s="6" t="n"/>
      <c r="L274" s="6">
        <f>IF(J274="","",J274-K274)</f>
        <v/>
      </c>
      <c r="M274" s="6">
        <f>IF(C274="","",N273)</f>
        <v/>
      </c>
      <c r="N274" s="6">
        <f>IF(L274="","",M274+L274)</f>
        <v/>
      </c>
      <c r="O274" s="6">
        <f>IF(N274="","",MAX(Settings!$B$7,N$2:N274))</f>
        <v/>
      </c>
      <c r="P274" s="6">
        <f>IF(N274="","",N274-O274)</f>
        <v/>
      </c>
      <c r="Q274" s="2">
        <f>IF(L274="","",IF(L274&gt;0,"Win",IF(L274&lt;0,"Loss","Flat")))</f>
        <v/>
      </c>
      <c r="R274" s="2" t="n"/>
    </row>
    <row r="275">
      <c r="A275" s="2">
        <f>IF(C275&lt;&gt;"",A274+1,"")</f>
        <v/>
      </c>
      <c r="B275" s="2" t="n"/>
      <c r="C275" s="2" t="n"/>
      <c r="D275" s="2" t="n"/>
      <c r="E275" s="2" t="n"/>
      <c r="F275" s="2" t="n"/>
      <c r="G275" s="6" t="n"/>
      <c r="H275" s="6" t="n"/>
      <c r="I275" s="2">
        <f>IF(OR(E275="",G275="",H275=""),"",IF(E275="Short",G275-H275,H275-G275))</f>
        <v/>
      </c>
      <c r="J275" s="6">
        <f>IF(I275="","",I275*F275*Settings!$B$3)</f>
        <v/>
      </c>
      <c r="K275" s="6" t="n"/>
      <c r="L275" s="6">
        <f>IF(J275="","",J275-K275)</f>
        <v/>
      </c>
      <c r="M275" s="6">
        <f>IF(C275="","",N274)</f>
        <v/>
      </c>
      <c r="N275" s="6">
        <f>IF(L275="","",M275+L275)</f>
        <v/>
      </c>
      <c r="O275" s="6">
        <f>IF(N275="","",MAX(Settings!$B$7,N$2:N275))</f>
        <v/>
      </c>
      <c r="P275" s="6">
        <f>IF(N275="","",N275-O275)</f>
        <v/>
      </c>
      <c r="Q275" s="2">
        <f>IF(L275="","",IF(L275&gt;0,"Win",IF(L275&lt;0,"Loss","Flat")))</f>
        <v/>
      </c>
      <c r="R275" s="2" t="n"/>
    </row>
    <row r="276">
      <c r="A276" s="2">
        <f>IF(C276&lt;&gt;"",A275+1,"")</f>
        <v/>
      </c>
      <c r="B276" s="2" t="n"/>
      <c r="C276" s="2" t="n"/>
      <c r="D276" s="2" t="n"/>
      <c r="E276" s="2" t="n"/>
      <c r="F276" s="2" t="n"/>
      <c r="G276" s="6" t="n"/>
      <c r="H276" s="6" t="n"/>
      <c r="I276" s="2">
        <f>IF(OR(E276="",G276="",H276=""),"",IF(E276="Short",G276-H276,H276-G276))</f>
        <v/>
      </c>
      <c r="J276" s="6">
        <f>IF(I276="","",I276*F276*Settings!$B$3)</f>
        <v/>
      </c>
      <c r="K276" s="6" t="n"/>
      <c r="L276" s="6">
        <f>IF(J276="","",J276-K276)</f>
        <v/>
      </c>
      <c r="M276" s="6">
        <f>IF(C276="","",N275)</f>
        <v/>
      </c>
      <c r="N276" s="6">
        <f>IF(L276="","",M276+L276)</f>
        <v/>
      </c>
      <c r="O276" s="6">
        <f>IF(N276="","",MAX(Settings!$B$7,N$2:N276))</f>
        <v/>
      </c>
      <c r="P276" s="6">
        <f>IF(N276="","",N276-O276)</f>
        <v/>
      </c>
      <c r="Q276" s="2">
        <f>IF(L276="","",IF(L276&gt;0,"Win",IF(L276&lt;0,"Loss","Flat")))</f>
        <v/>
      </c>
      <c r="R276" s="2" t="n"/>
    </row>
    <row r="277">
      <c r="A277" s="2">
        <f>IF(C277&lt;&gt;"",A276+1,"")</f>
        <v/>
      </c>
      <c r="B277" s="2" t="n"/>
      <c r="C277" s="2" t="n"/>
      <c r="D277" s="2" t="n"/>
      <c r="E277" s="2" t="n"/>
      <c r="F277" s="2" t="n"/>
      <c r="G277" s="6" t="n"/>
      <c r="H277" s="6" t="n"/>
      <c r="I277" s="2">
        <f>IF(OR(E277="",G277="",H277=""),"",IF(E277="Short",G277-H277,H277-G277))</f>
        <v/>
      </c>
      <c r="J277" s="6">
        <f>IF(I277="","",I277*F277*Settings!$B$3)</f>
        <v/>
      </c>
      <c r="K277" s="6" t="n"/>
      <c r="L277" s="6">
        <f>IF(J277="","",J277-K277)</f>
        <v/>
      </c>
      <c r="M277" s="6">
        <f>IF(C277="","",N276)</f>
        <v/>
      </c>
      <c r="N277" s="6">
        <f>IF(L277="","",M277+L277)</f>
        <v/>
      </c>
      <c r="O277" s="6">
        <f>IF(N277="","",MAX(Settings!$B$7,N$2:N277))</f>
        <v/>
      </c>
      <c r="P277" s="6">
        <f>IF(N277="","",N277-O277)</f>
        <v/>
      </c>
      <c r="Q277" s="2">
        <f>IF(L277="","",IF(L277&gt;0,"Win",IF(L277&lt;0,"Loss","Flat")))</f>
        <v/>
      </c>
      <c r="R277" s="2" t="n"/>
    </row>
    <row r="278">
      <c r="A278" s="2">
        <f>IF(C278&lt;&gt;"",A277+1,"")</f>
        <v/>
      </c>
      <c r="B278" s="2" t="n"/>
      <c r="C278" s="2" t="n"/>
      <c r="D278" s="2" t="n"/>
      <c r="E278" s="2" t="n"/>
      <c r="F278" s="2" t="n"/>
      <c r="G278" s="6" t="n"/>
      <c r="H278" s="6" t="n"/>
      <c r="I278" s="2">
        <f>IF(OR(E278="",G278="",H278=""),"",IF(E278="Short",G278-H278,H278-G278))</f>
        <v/>
      </c>
      <c r="J278" s="6">
        <f>IF(I278="","",I278*F278*Settings!$B$3)</f>
        <v/>
      </c>
      <c r="K278" s="6" t="n"/>
      <c r="L278" s="6">
        <f>IF(J278="","",J278-K278)</f>
        <v/>
      </c>
      <c r="M278" s="6">
        <f>IF(C278="","",N277)</f>
        <v/>
      </c>
      <c r="N278" s="6">
        <f>IF(L278="","",M278+L278)</f>
        <v/>
      </c>
      <c r="O278" s="6">
        <f>IF(N278="","",MAX(Settings!$B$7,N$2:N278))</f>
        <v/>
      </c>
      <c r="P278" s="6">
        <f>IF(N278="","",N278-O278)</f>
        <v/>
      </c>
      <c r="Q278" s="2">
        <f>IF(L278="","",IF(L278&gt;0,"Win",IF(L278&lt;0,"Loss","Flat")))</f>
        <v/>
      </c>
      <c r="R278" s="2" t="n"/>
    </row>
    <row r="279">
      <c r="A279" s="2">
        <f>IF(C279&lt;&gt;"",A278+1,"")</f>
        <v/>
      </c>
      <c r="B279" s="2" t="n"/>
      <c r="C279" s="2" t="n"/>
      <c r="D279" s="2" t="n"/>
      <c r="E279" s="2" t="n"/>
      <c r="F279" s="2" t="n"/>
      <c r="G279" s="6" t="n"/>
      <c r="H279" s="6" t="n"/>
      <c r="I279" s="2">
        <f>IF(OR(E279="",G279="",H279=""),"",IF(E279="Short",G279-H279,H279-G279))</f>
        <v/>
      </c>
      <c r="J279" s="6">
        <f>IF(I279="","",I279*F279*Settings!$B$3)</f>
        <v/>
      </c>
      <c r="K279" s="6" t="n"/>
      <c r="L279" s="6">
        <f>IF(J279="","",J279-K279)</f>
        <v/>
      </c>
      <c r="M279" s="6">
        <f>IF(C279="","",N278)</f>
        <v/>
      </c>
      <c r="N279" s="6">
        <f>IF(L279="","",M279+L279)</f>
        <v/>
      </c>
      <c r="O279" s="6">
        <f>IF(N279="","",MAX(Settings!$B$7,N$2:N279))</f>
        <v/>
      </c>
      <c r="P279" s="6">
        <f>IF(N279="","",N279-O279)</f>
        <v/>
      </c>
      <c r="Q279" s="2">
        <f>IF(L279="","",IF(L279&gt;0,"Win",IF(L279&lt;0,"Loss","Flat")))</f>
        <v/>
      </c>
      <c r="R279" s="2" t="n"/>
    </row>
    <row r="280">
      <c r="A280" s="2">
        <f>IF(C280&lt;&gt;"",A279+1,"")</f>
        <v/>
      </c>
      <c r="B280" s="2" t="n"/>
      <c r="C280" s="2" t="n"/>
      <c r="D280" s="2" t="n"/>
      <c r="E280" s="2" t="n"/>
      <c r="F280" s="2" t="n"/>
      <c r="G280" s="6" t="n"/>
      <c r="H280" s="6" t="n"/>
      <c r="I280" s="2">
        <f>IF(OR(E280="",G280="",H280=""),"",IF(E280="Short",G280-H280,H280-G280))</f>
        <v/>
      </c>
      <c r="J280" s="6">
        <f>IF(I280="","",I280*F280*Settings!$B$3)</f>
        <v/>
      </c>
      <c r="K280" s="6" t="n"/>
      <c r="L280" s="6">
        <f>IF(J280="","",J280-K280)</f>
        <v/>
      </c>
      <c r="M280" s="6">
        <f>IF(C280="","",N279)</f>
        <v/>
      </c>
      <c r="N280" s="6">
        <f>IF(L280="","",M280+L280)</f>
        <v/>
      </c>
      <c r="O280" s="6">
        <f>IF(N280="","",MAX(Settings!$B$7,N$2:N280))</f>
        <v/>
      </c>
      <c r="P280" s="6">
        <f>IF(N280="","",N280-O280)</f>
        <v/>
      </c>
      <c r="Q280" s="2">
        <f>IF(L280="","",IF(L280&gt;0,"Win",IF(L280&lt;0,"Loss","Flat")))</f>
        <v/>
      </c>
      <c r="R280" s="2" t="n"/>
    </row>
    <row r="281">
      <c r="A281" s="2">
        <f>IF(C281&lt;&gt;"",A280+1,"")</f>
        <v/>
      </c>
      <c r="B281" s="2" t="n"/>
      <c r="C281" s="2" t="n"/>
      <c r="D281" s="2" t="n"/>
      <c r="E281" s="2" t="n"/>
      <c r="F281" s="2" t="n"/>
      <c r="G281" s="6" t="n"/>
      <c r="H281" s="6" t="n"/>
      <c r="I281" s="2">
        <f>IF(OR(E281="",G281="",H281=""),"",IF(E281="Short",G281-H281,H281-G281))</f>
        <v/>
      </c>
      <c r="J281" s="6">
        <f>IF(I281="","",I281*F281*Settings!$B$3)</f>
        <v/>
      </c>
      <c r="K281" s="6" t="n"/>
      <c r="L281" s="6">
        <f>IF(J281="","",J281-K281)</f>
        <v/>
      </c>
      <c r="M281" s="6">
        <f>IF(C281="","",N280)</f>
        <v/>
      </c>
      <c r="N281" s="6">
        <f>IF(L281="","",M281+L281)</f>
        <v/>
      </c>
      <c r="O281" s="6">
        <f>IF(N281="","",MAX(Settings!$B$7,N$2:N281))</f>
        <v/>
      </c>
      <c r="P281" s="6">
        <f>IF(N281="","",N281-O281)</f>
        <v/>
      </c>
      <c r="Q281" s="2">
        <f>IF(L281="","",IF(L281&gt;0,"Win",IF(L281&lt;0,"Loss","Flat")))</f>
        <v/>
      </c>
      <c r="R281" s="2" t="n"/>
    </row>
    <row r="282">
      <c r="A282" s="2">
        <f>IF(C282&lt;&gt;"",A281+1,"")</f>
        <v/>
      </c>
      <c r="B282" s="2" t="n"/>
      <c r="C282" s="2" t="n"/>
      <c r="D282" s="2" t="n"/>
      <c r="E282" s="2" t="n"/>
      <c r="F282" s="2" t="n"/>
      <c r="G282" s="6" t="n"/>
      <c r="H282" s="6" t="n"/>
      <c r="I282" s="2">
        <f>IF(OR(E282="",G282="",H282=""),"",IF(E282="Short",G282-H282,H282-G282))</f>
        <v/>
      </c>
      <c r="J282" s="6">
        <f>IF(I282="","",I282*F282*Settings!$B$3)</f>
        <v/>
      </c>
      <c r="K282" s="6" t="n"/>
      <c r="L282" s="6">
        <f>IF(J282="","",J282-K282)</f>
        <v/>
      </c>
      <c r="M282" s="6">
        <f>IF(C282="","",N281)</f>
        <v/>
      </c>
      <c r="N282" s="6">
        <f>IF(L282="","",M282+L282)</f>
        <v/>
      </c>
      <c r="O282" s="6">
        <f>IF(N282="","",MAX(Settings!$B$7,N$2:N282))</f>
        <v/>
      </c>
      <c r="P282" s="6">
        <f>IF(N282="","",N282-O282)</f>
        <v/>
      </c>
      <c r="Q282" s="2">
        <f>IF(L282="","",IF(L282&gt;0,"Win",IF(L282&lt;0,"Loss","Flat")))</f>
        <v/>
      </c>
      <c r="R282" s="2" t="n"/>
    </row>
    <row r="283">
      <c r="A283" s="2">
        <f>IF(C283&lt;&gt;"",A282+1,"")</f>
        <v/>
      </c>
      <c r="B283" s="2" t="n"/>
      <c r="C283" s="2" t="n"/>
      <c r="D283" s="2" t="n"/>
      <c r="E283" s="2" t="n"/>
      <c r="F283" s="2" t="n"/>
      <c r="G283" s="6" t="n"/>
      <c r="H283" s="6" t="n"/>
      <c r="I283" s="2">
        <f>IF(OR(E283="",G283="",H283=""),"",IF(E283="Short",G283-H283,H283-G283))</f>
        <v/>
      </c>
      <c r="J283" s="6">
        <f>IF(I283="","",I283*F283*Settings!$B$3)</f>
        <v/>
      </c>
      <c r="K283" s="6" t="n"/>
      <c r="L283" s="6">
        <f>IF(J283="","",J283-K283)</f>
        <v/>
      </c>
      <c r="M283" s="6">
        <f>IF(C283="","",N282)</f>
        <v/>
      </c>
      <c r="N283" s="6">
        <f>IF(L283="","",M283+L283)</f>
        <v/>
      </c>
      <c r="O283" s="6">
        <f>IF(N283="","",MAX(Settings!$B$7,N$2:N283))</f>
        <v/>
      </c>
      <c r="P283" s="6">
        <f>IF(N283="","",N283-O283)</f>
        <v/>
      </c>
      <c r="Q283" s="2">
        <f>IF(L283="","",IF(L283&gt;0,"Win",IF(L283&lt;0,"Loss","Flat")))</f>
        <v/>
      </c>
      <c r="R283" s="2" t="n"/>
    </row>
    <row r="284">
      <c r="A284" s="2">
        <f>IF(C284&lt;&gt;"",A283+1,"")</f>
        <v/>
      </c>
      <c r="B284" s="2" t="n"/>
      <c r="C284" s="2" t="n"/>
      <c r="D284" s="2" t="n"/>
      <c r="E284" s="2" t="n"/>
      <c r="F284" s="2" t="n"/>
      <c r="G284" s="6" t="n"/>
      <c r="H284" s="6" t="n"/>
      <c r="I284" s="2">
        <f>IF(OR(E284="",G284="",H284=""),"",IF(E284="Short",G284-H284,H284-G284))</f>
        <v/>
      </c>
      <c r="J284" s="6">
        <f>IF(I284="","",I284*F284*Settings!$B$3)</f>
        <v/>
      </c>
      <c r="K284" s="6" t="n"/>
      <c r="L284" s="6">
        <f>IF(J284="","",J284-K284)</f>
        <v/>
      </c>
      <c r="M284" s="6">
        <f>IF(C284="","",N283)</f>
        <v/>
      </c>
      <c r="N284" s="6">
        <f>IF(L284="","",M284+L284)</f>
        <v/>
      </c>
      <c r="O284" s="6">
        <f>IF(N284="","",MAX(Settings!$B$7,N$2:N284))</f>
        <v/>
      </c>
      <c r="P284" s="6">
        <f>IF(N284="","",N284-O284)</f>
        <v/>
      </c>
      <c r="Q284" s="2">
        <f>IF(L284="","",IF(L284&gt;0,"Win",IF(L284&lt;0,"Loss","Flat")))</f>
        <v/>
      </c>
      <c r="R284" s="2" t="n"/>
    </row>
    <row r="285">
      <c r="A285" s="2">
        <f>IF(C285&lt;&gt;"",A284+1,"")</f>
        <v/>
      </c>
      <c r="B285" s="2" t="n"/>
      <c r="C285" s="2" t="n"/>
      <c r="D285" s="2" t="n"/>
      <c r="E285" s="2" t="n"/>
      <c r="F285" s="2" t="n"/>
      <c r="G285" s="6" t="n"/>
      <c r="H285" s="6" t="n"/>
      <c r="I285" s="2">
        <f>IF(OR(E285="",G285="",H285=""),"",IF(E285="Short",G285-H285,H285-G285))</f>
        <v/>
      </c>
      <c r="J285" s="6">
        <f>IF(I285="","",I285*F285*Settings!$B$3)</f>
        <v/>
      </c>
      <c r="K285" s="6" t="n"/>
      <c r="L285" s="6">
        <f>IF(J285="","",J285-K285)</f>
        <v/>
      </c>
      <c r="M285" s="6">
        <f>IF(C285="","",N284)</f>
        <v/>
      </c>
      <c r="N285" s="6">
        <f>IF(L285="","",M285+L285)</f>
        <v/>
      </c>
      <c r="O285" s="6">
        <f>IF(N285="","",MAX(Settings!$B$7,N$2:N285))</f>
        <v/>
      </c>
      <c r="P285" s="6">
        <f>IF(N285="","",N285-O285)</f>
        <v/>
      </c>
      <c r="Q285" s="2">
        <f>IF(L285="","",IF(L285&gt;0,"Win",IF(L285&lt;0,"Loss","Flat")))</f>
        <v/>
      </c>
      <c r="R285" s="2" t="n"/>
    </row>
    <row r="286">
      <c r="A286" s="2">
        <f>IF(C286&lt;&gt;"",A285+1,"")</f>
        <v/>
      </c>
      <c r="B286" s="2" t="n"/>
      <c r="C286" s="2" t="n"/>
      <c r="D286" s="2" t="n"/>
      <c r="E286" s="2" t="n"/>
      <c r="F286" s="2" t="n"/>
      <c r="G286" s="6" t="n"/>
      <c r="H286" s="6" t="n"/>
      <c r="I286" s="2">
        <f>IF(OR(E286="",G286="",H286=""),"",IF(E286="Short",G286-H286,H286-G286))</f>
        <v/>
      </c>
      <c r="J286" s="6">
        <f>IF(I286="","",I286*F286*Settings!$B$3)</f>
        <v/>
      </c>
      <c r="K286" s="6" t="n"/>
      <c r="L286" s="6">
        <f>IF(J286="","",J286-K286)</f>
        <v/>
      </c>
      <c r="M286" s="6">
        <f>IF(C286="","",N285)</f>
        <v/>
      </c>
      <c r="N286" s="6">
        <f>IF(L286="","",M286+L286)</f>
        <v/>
      </c>
      <c r="O286" s="6">
        <f>IF(N286="","",MAX(Settings!$B$7,N$2:N286))</f>
        <v/>
      </c>
      <c r="P286" s="6">
        <f>IF(N286="","",N286-O286)</f>
        <v/>
      </c>
      <c r="Q286" s="2">
        <f>IF(L286="","",IF(L286&gt;0,"Win",IF(L286&lt;0,"Loss","Flat")))</f>
        <v/>
      </c>
      <c r="R286" s="2" t="n"/>
    </row>
    <row r="287">
      <c r="A287" s="2">
        <f>IF(C287&lt;&gt;"",A286+1,"")</f>
        <v/>
      </c>
      <c r="B287" s="2" t="n"/>
      <c r="C287" s="2" t="n"/>
      <c r="D287" s="2" t="n"/>
      <c r="E287" s="2" t="n"/>
      <c r="F287" s="2" t="n"/>
      <c r="G287" s="6" t="n"/>
      <c r="H287" s="6" t="n"/>
      <c r="I287" s="2">
        <f>IF(OR(E287="",G287="",H287=""),"",IF(E287="Short",G287-H287,H287-G287))</f>
        <v/>
      </c>
      <c r="J287" s="6">
        <f>IF(I287="","",I287*F287*Settings!$B$3)</f>
        <v/>
      </c>
      <c r="K287" s="6" t="n"/>
      <c r="L287" s="6">
        <f>IF(J287="","",J287-K287)</f>
        <v/>
      </c>
      <c r="M287" s="6">
        <f>IF(C287="","",N286)</f>
        <v/>
      </c>
      <c r="N287" s="6">
        <f>IF(L287="","",M287+L287)</f>
        <v/>
      </c>
      <c r="O287" s="6">
        <f>IF(N287="","",MAX(Settings!$B$7,N$2:N287))</f>
        <v/>
      </c>
      <c r="P287" s="6">
        <f>IF(N287="","",N287-O287)</f>
        <v/>
      </c>
      <c r="Q287" s="2">
        <f>IF(L287="","",IF(L287&gt;0,"Win",IF(L287&lt;0,"Loss","Flat")))</f>
        <v/>
      </c>
      <c r="R287" s="2" t="n"/>
    </row>
    <row r="288">
      <c r="A288" s="2">
        <f>IF(C288&lt;&gt;"",A287+1,"")</f>
        <v/>
      </c>
      <c r="B288" s="2" t="n"/>
      <c r="C288" s="2" t="n"/>
      <c r="D288" s="2" t="n"/>
      <c r="E288" s="2" t="n"/>
      <c r="F288" s="2" t="n"/>
      <c r="G288" s="6" t="n"/>
      <c r="H288" s="6" t="n"/>
      <c r="I288" s="2">
        <f>IF(OR(E288="",G288="",H288=""),"",IF(E288="Short",G288-H288,H288-G288))</f>
        <v/>
      </c>
      <c r="J288" s="6">
        <f>IF(I288="","",I288*F288*Settings!$B$3)</f>
        <v/>
      </c>
      <c r="K288" s="6" t="n"/>
      <c r="L288" s="6">
        <f>IF(J288="","",J288-K288)</f>
        <v/>
      </c>
      <c r="M288" s="6">
        <f>IF(C288="","",N287)</f>
        <v/>
      </c>
      <c r="N288" s="6">
        <f>IF(L288="","",M288+L288)</f>
        <v/>
      </c>
      <c r="O288" s="6">
        <f>IF(N288="","",MAX(Settings!$B$7,N$2:N288))</f>
        <v/>
      </c>
      <c r="P288" s="6">
        <f>IF(N288="","",N288-O288)</f>
        <v/>
      </c>
      <c r="Q288" s="2">
        <f>IF(L288="","",IF(L288&gt;0,"Win",IF(L288&lt;0,"Loss","Flat")))</f>
        <v/>
      </c>
      <c r="R288" s="2" t="n"/>
    </row>
    <row r="289">
      <c r="A289" s="2">
        <f>IF(C289&lt;&gt;"",A288+1,"")</f>
        <v/>
      </c>
      <c r="B289" s="2" t="n"/>
      <c r="C289" s="2" t="n"/>
      <c r="D289" s="2" t="n"/>
      <c r="E289" s="2" t="n"/>
      <c r="F289" s="2" t="n"/>
      <c r="G289" s="6" t="n"/>
      <c r="H289" s="6" t="n"/>
      <c r="I289" s="2">
        <f>IF(OR(E289="",G289="",H289=""),"",IF(E289="Short",G289-H289,H289-G289))</f>
        <v/>
      </c>
      <c r="J289" s="6">
        <f>IF(I289="","",I289*F289*Settings!$B$3)</f>
        <v/>
      </c>
      <c r="K289" s="6" t="n"/>
      <c r="L289" s="6">
        <f>IF(J289="","",J289-K289)</f>
        <v/>
      </c>
      <c r="M289" s="6">
        <f>IF(C289="","",N288)</f>
        <v/>
      </c>
      <c r="N289" s="6">
        <f>IF(L289="","",M289+L289)</f>
        <v/>
      </c>
      <c r="O289" s="6">
        <f>IF(N289="","",MAX(Settings!$B$7,N$2:N289))</f>
        <v/>
      </c>
      <c r="P289" s="6">
        <f>IF(N289="","",N289-O289)</f>
        <v/>
      </c>
      <c r="Q289" s="2">
        <f>IF(L289="","",IF(L289&gt;0,"Win",IF(L289&lt;0,"Loss","Flat")))</f>
        <v/>
      </c>
      <c r="R289" s="2" t="n"/>
    </row>
    <row r="290">
      <c r="A290" s="2">
        <f>IF(C290&lt;&gt;"",A289+1,"")</f>
        <v/>
      </c>
      <c r="B290" s="2" t="n"/>
      <c r="C290" s="2" t="n"/>
      <c r="D290" s="2" t="n"/>
      <c r="E290" s="2" t="n"/>
      <c r="F290" s="2" t="n"/>
      <c r="G290" s="6" t="n"/>
      <c r="H290" s="6" t="n"/>
      <c r="I290" s="2">
        <f>IF(OR(E290="",G290="",H290=""),"",IF(E290="Short",G290-H290,H290-G290))</f>
        <v/>
      </c>
      <c r="J290" s="6">
        <f>IF(I290="","",I290*F290*Settings!$B$3)</f>
        <v/>
      </c>
      <c r="K290" s="6" t="n"/>
      <c r="L290" s="6">
        <f>IF(J290="","",J290-K290)</f>
        <v/>
      </c>
      <c r="M290" s="6">
        <f>IF(C290="","",N289)</f>
        <v/>
      </c>
      <c r="N290" s="6">
        <f>IF(L290="","",M290+L290)</f>
        <v/>
      </c>
      <c r="O290" s="6">
        <f>IF(N290="","",MAX(Settings!$B$7,N$2:N290))</f>
        <v/>
      </c>
      <c r="P290" s="6">
        <f>IF(N290="","",N290-O290)</f>
        <v/>
      </c>
      <c r="Q290" s="2">
        <f>IF(L290="","",IF(L290&gt;0,"Win",IF(L290&lt;0,"Loss","Flat")))</f>
        <v/>
      </c>
      <c r="R290" s="2" t="n"/>
    </row>
    <row r="291">
      <c r="A291" s="2">
        <f>IF(C291&lt;&gt;"",A290+1,"")</f>
        <v/>
      </c>
      <c r="B291" s="2" t="n"/>
      <c r="C291" s="2" t="n"/>
      <c r="D291" s="2" t="n"/>
      <c r="E291" s="2" t="n"/>
      <c r="F291" s="2" t="n"/>
      <c r="G291" s="6" t="n"/>
      <c r="H291" s="6" t="n"/>
      <c r="I291" s="2">
        <f>IF(OR(E291="",G291="",H291=""),"",IF(E291="Short",G291-H291,H291-G291))</f>
        <v/>
      </c>
      <c r="J291" s="6">
        <f>IF(I291="","",I291*F291*Settings!$B$3)</f>
        <v/>
      </c>
      <c r="K291" s="6" t="n"/>
      <c r="L291" s="6">
        <f>IF(J291="","",J291-K291)</f>
        <v/>
      </c>
      <c r="M291" s="6">
        <f>IF(C291="","",N290)</f>
        <v/>
      </c>
      <c r="N291" s="6">
        <f>IF(L291="","",M291+L291)</f>
        <v/>
      </c>
      <c r="O291" s="6">
        <f>IF(N291="","",MAX(Settings!$B$7,N$2:N291))</f>
        <v/>
      </c>
      <c r="P291" s="6">
        <f>IF(N291="","",N291-O291)</f>
        <v/>
      </c>
      <c r="Q291" s="2">
        <f>IF(L291="","",IF(L291&gt;0,"Win",IF(L291&lt;0,"Loss","Flat")))</f>
        <v/>
      </c>
      <c r="R291" s="2" t="n"/>
    </row>
    <row r="292">
      <c r="A292" s="2">
        <f>IF(C292&lt;&gt;"",A291+1,"")</f>
        <v/>
      </c>
      <c r="B292" s="2" t="n"/>
      <c r="C292" s="2" t="n"/>
      <c r="D292" s="2" t="n"/>
      <c r="E292" s="2" t="n"/>
      <c r="F292" s="2" t="n"/>
      <c r="G292" s="6" t="n"/>
      <c r="H292" s="6" t="n"/>
      <c r="I292" s="2">
        <f>IF(OR(E292="",G292="",H292=""),"",IF(E292="Short",G292-H292,H292-G292))</f>
        <v/>
      </c>
      <c r="J292" s="6">
        <f>IF(I292="","",I292*F292*Settings!$B$3)</f>
        <v/>
      </c>
      <c r="K292" s="6" t="n"/>
      <c r="L292" s="6">
        <f>IF(J292="","",J292-K292)</f>
        <v/>
      </c>
      <c r="M292" s="6">
        <f>IF(C292="","",N291)</f>
        <v/>
      </c>
      <c r="N292" s="6">
        <f>IF(L292="","",M292+L292)</f>
        <v/>
      </c>
      <c r="O292" s="6">
        <f>IF(N292="","",MAX(Settings!$B$7,N$2:N292))</f>
        <v/>
      </c>
      <c r="P292" s="6">
        <f>IF(N292="","",N292-O292)</f>
        <v/>
      </c>
      <c r="Q292" s="2">
        <f>IF(L292="","",IF(L292&gt;0,"Win",IF(L292&lt;0,"Loss","Flat")))</f>
        <v/>
      </c>
      <c r="R292" s="2" t="n"/>
    </row>
    <row r="293">
      <c r="A293" s="2">
        <f>IF(C293&lt;&gt;"",A292+1,"")</f>
        <v/>
      </c>
      <c r="B293" s="2" t="n"/>
      <c r="C293" s="2" t="n"/>
      <c r="D293" s="2" t="n"/>
      <c r="E293" s="2" t="n"/>
      <c r="F293" s="2" t="n"/>
      <c r="G293" s="6" t="n"/>
      <c r="H293" s="6" t="n"/>
      <c r="I293" s="2">
        <f>IF(OR(E293="",G293="",H293=""),"",IF(E293="Short",G293-H293,H293-G293))</f>
        <v/>
      </c>
      <c r="J293" s="6">
        <f>IF(I293="","",I293*F293*Settings!$B$3)</f>
        <v/>
      </c>
      <c r="K293" s="6" t="n"/>
      <c r="L293" s="6">
        <f>IF(J293="","",J293-K293)</f>
        <v/>
      </c>
      <c r="M293" s="6">
        <f>IF(C293="","",N292)</f>
        <v/>
      </c>
      <c r="N293" s="6">
        <f>IF(L293="","",M293+L293)</f>
        <v/>
      </c>
      <c r="O293" s="6">
        <f>IF(N293="","",MAX(Settings!$B$7,N$2:N293))</f>
        <v/>
      </c>
      <c r="P293" s="6">
        <f>IF(N293="","",N293-O293)</f>
        <v/>
      </c>
      <c r="Q293" s="2">
        <f>IF(L293="","",IF(L293&gt;0,"Win",IF(L293&lt;0,"Loss","Flat")))</f>
        <v/>
      </c>
      <c r="R293" s="2" t="n"/>
    </row>
    <row r="294">
      <c r="A294" s="2">
        <f>IF(C294&lt;&gt;"",A293+1,"")</f>
        <v/>
      </c>
      <c r="B294" s="2" t="n"/>
      <c r="C294" s="2" t="n"/>
      <c r="D294" s="2" t="n"/>
      <c r="E294" s="2" t="n"/>
      <c r="F294" s="2" t="n"/>
      <c r="G294" s="6" t="n"/>
      <c r="H294" s="6" t="n"/>
      <c r="I294" s="2">
        <f>IF(OR(E294="",G294="",H294=""),"",IF(E294="Short",G294-H294,H294-G294))</f>
        <v/>
      </c>
      <c r="J294" s="6">
        <f>IF(I294="","",I294*F294*Settings!$B$3)</f>
        <v/>
      </c>
      <c r="K294" s="6" t="n"/>
      <c r="L294" s="6">
        <f>IF(J294="","",J294-K294)</f>
        <v/>
      </c>
      <c r="M294" s="6">
        <f>IF(C294="","",N293)</f>
        <v/>
      </c>
      <c r="N294" s="6">
        <f>IF(L294="","",M294+L294)</f>
        <v/>
      </c>
      <c r="O294" s="6">
        <f>IF(N294="","",MAX(Settings!$B$7,N$2:N294))</f>
        <v/>
      </c>
      <c r="P294" s="6">
        <f>IF(N294="","",N294-O294)</f>
        <v/>
      </c>
      <c r="Q294" s="2">
        <f>IF(L294="","",IF(L294&gt;0,"Win",IF(L294&lt;0,"Loss","Flat")))</f>
        <v/>
      </c>
      <c r="R294" s="2" t="n"/>
    </row>
    <row r="295">
      <c r="A295" s="2">
        <f>IF(C295&lt;&gt;"",A294+1,"")</f>
        <v/>
      </c>
      <c r="B295" s="2" t="n"/>
      <c r="C295" s="2" t="n"/>
      <c r="D295" s="2" t="n"/>
      <c r="E295" s="2" t="n"/>
      <c r="F295" s="2" t="n"/>
      <c r="G295" s="6" t="n"/>
      <c r="H295" s="6" t="n"/>
      <c r="I295" s="2">
        <f>IF(OR(E295="",G295="",H295=""),"",IF(E295="Short",G295-H295,H295-G295))</f>
        <v/>
      </c>
      <c r="J295" s="6">
        <f>IF(I295="","",I295*F295*Settings!$B$3)</f>
        <v/>
      </c>
      <c r="K295" s="6" t="n"/>
      <c r="L295" s="6">
        <f>IF(J295="","",J295-K295)</f>
        <v/>
      </c>
      <c r="M295" s="6">
        <f>IF(C295="","",N294)</f>
        <v/>
      </c>
      <c r="N295" s="6">
        <f>IF(L295="","",M295+L295)</f>
        <v/>
      </c>
      <c r="O295" s="6">
        <f>IF(N295="","",MAX(Settings!$B$7,N$2:N295))</f>
        <v/>
      </c>
      <c r="P295" s="6">
        <f>IF(N295="","",N295-O295)</f>
        <v/>
      </c>
      <c r="Q295" s="2">
        <f>IF(L295="","",IF(L295&gt;0,"Win",IF(L295&lt;0,"Loss","Flat")))</f>
        <v/>
      </c>
      <c r="R295" s="2" t="n"/>
    </row>
    <row r="296">
      <c r="A296" s="2">
        <f>IF(C296&lt;&gt;"",A295+1,"")</f>
        <v/>
      </c>
      <c r="B296" s="2" t="n"/>
      <c r="C296" s="2" t="n"/>
      <c r="D296" s="2" t="n"/>
      <c r="E296" s="2" t="n"/>
      <c r="F296" s="2" t="n"/>
      <c r="G296" s="6" t="n"/>
      <c r="H296" s="6" t="n"/>
      <c r="I296" s="2">
        <f>IF(OR(E296="",G296="",H296=""),"",IF(E296="Short",G296-H296,H296-G296))</f>
        <v/>
      </c>
      <c r="J296" s="6">
        <f>IF(I296="","",I296*F296*Settings!$B$3)</f>
        <v/>
      </c>
      <c r="K296" s="6" t="n"/>
      <c r="L296" s="6">
        <f>IF(J296="","",J296-K296)</f>
        <v/>
      </c>
      <c r="M296" s="6">
        <f>IF(C296="","",N295)</f>
        <v/>
      </c>
      <c r="N296" s="6">
        <f>IF(L296="","",M296+L296)</f>
        <v/>
      </c>
      <c r="O296" s="6">
        <f>IF(N296="","",MAX(Settings!$B$7,N$2:N296))</f>
        <v/>
      </c>
      <c r="P296" s="6">
        <f>IF(N296="","",N296-O296)</f>
        <v/>
      </c>
      <c r="Q296" s="2">
        <f>IF(L296="","",IF(L296&gt;0,"Win",IF(L296&lt;0,"Loss","Flat")))</f>
        <v/>
      </c>
      <c r="R296" s="2" t="n"/>
    </row>
    <row r="297">
      <c r="A297" s="2">
        <f>IF(C297&lt;&gt;"",A296+1,"")</f>
        <v/>
      </c>
      <c r="B297" s="2" t="n"/>
      <c r="C297" s="2" t="n"/>
      <c r="D297" s="2" t="n"/>
      <c r="E297" s="2" t="n"/>
      <c r="F297" s="2" t="n"/>
      <c r="G297" s="6" t="n"/>
      <c r="H297" s="6" t="n"/>
      <c r="I297" s="2">
        <f>IF(OR(E297="",G297="",H297=""),"",IF(E297="Short",G297-H297,H297-G297))</f>
        <v/>
      </c>
      <c r="J297" s="6">
        <f>IF(I297="","",I297*F297*Settings!$B$3)</f>
        <v/>
      </c>
      <c r="K297" s="6" t="n"/>
      <c r="L297" s="6">
        <f>IF(J297="","",J297-K297)</f>
        <v/>
      </c>
      <c r="M297" s="6">
        <f>IF(C297="","",N296)</f>
        <v/>
      </c>
      <c r="N297" s="6">
        <f>IF(L297="","",M297+L297)</f>
        <v/>
      </c>
      <c r="O297" s="6">
        <f>IF(N297="","",MAX(Settings!$B$7,N$2:N297))</f>
        <v/>
      </c>
      <c r="P297" s="6">
        <f>IF(N297="","",N297-O297)</f>
        <v/>
      </c>
      <c r="Q297" s="2">
        <f>IF(L297="","",IF(L297&gt;0,"Win",IF(L297&lt;0,"Loss","Flat")))</f>
        <v/>
      </c>
      <c r="R297" s="2" t="n"/>
    </row>
    <row r="298">
      <c r="A298" s="2">
        <f>IF(C298&lt;&gt;"",A297+1,"")</f>
        <v/>
      </c>
      <c r="B298" s="2" t="n"/>
      <c r="C298" s="2" t="n"/>
      <c r="D298" s="2" t="n"/>
      <c r="E298" s="2" t="n"/>
      <c r="F298" s="2" t="n"/>
      <c r="G298" s="6" t="n"/>
      <c r="H298" s="6" t="n"/>
      <c r="I298" s="2">
        <f>IF(OR(E298="",G298="",H298=""),"",IF(E298="Short",G298-H298,H298-G298))</f>
        <v/>
      </c>
      <c r="J298" s="6">
        <f>IF(I298="","",I298*F298*Settings!$B$3)</f>
        <v/>
      </c>
      <c r="K298" s="6" t="n"/>
      <c r="L298" s="6">
        <f>IF(J298="","",J298-K298)</f>
        <v/>
      </c>
      <c r="M298" s="6">
        <f>IF(C298="","",N297)</f>
        <v/>
      </c>
      <c r="N298" s="6">
        <f>IF(L298="","",M298+L298)</f>
        <v/>
      </c>
      <c r="O298" s="6">
        <f>IF(N298="","",MAX(Settings!$B$7,N$2:N298))</f>
        <v/>
      </c>
      <c r="P298" s="6">
        <f>IF(N298="","",N298-O298)</f>
        <v/>
      </c>
      <c r="Q298" s="2">
        <f>IF(L298="","",IF(L298&gt;0,"Win",IF(L298&lt;0,"Loss","Flat")))</f>
        <v/>
      </c>
      <c r="R298" s="2" t="n"/>
    </row>
    <row r="299">
      <c r="A299" s="2">
        <f>IF(C299&lt;&gt;"",A298+1,"")</f>
        <v/>
      </c>
      <c r="B299" s="2" t="n"/>
      <c r="C299" s="2" t="n"/>
      <c r="D299" s="2" t="n"/>
      <c r="E299" s="2" t="n"/>
      <c r="F299" s="2" t="n"/>
      <c r="G299" s="6" t="n"/>
      <c r="H299" s="6" t="n"/>
      <c r="I299" s="2">
        <f>IF(OR(E299="",G299="",H299=""),"",IF(E299="Short",G299-H299,H299-G299))</f>
        <v/>
      </c>
      <c r="J299" s="6">
        <f>IF(I299="","",I299*F299*Settings!$B$3)</f>
        <v/>
      </c>
      <c r="K299" s="6" t="n"/>
      <c r="L299" s="6">
        <f>IF(J299="","",J299-K299)</f>
        <v/>
      </c>
      <c r="M299" s="6">
        <f>IF(C299="","",N298)</f>
        <v/>
      </c>
      <c r="N299" s="6">
        <f>IF(L299="","",M299+L299)</f>
        <v/>
      </c>
      <c r="O299" s="6">
        <f>IF(N299="","",MAX(Settings!$B$7,N$2:N299))</f>
        <v/>
      </c>
      <c r="P299" s="6">
        <f>IF(N299="","",N299-O299)</f>
        <v/>
      </c>
      <c r="Q299" s="2">
        <f>IF(L299="","",IF(L299&gt;0,"Win",IF(L299&lt;0,"Loss","Flat")))</f>
        <v/>
      </c>
      <c r="R299" s="2" t="n"/>
    </row>
    <row r="300">
      <c r="A300" s="2">
        <f>IF(C300&lt;&gt;"",A299+1,"")</f>
        <v/>
      </c>
      <c r="B300" s="2" t="n"/>
      <c r="C300" s="2" t="n"/>
      <c r="D300" s="2" t="n"/>
      <c r="E300" s="2" t="n"/>
      <c r="F300" s="2" t="n"/>
      <c r="G300" s="6" t="n"/>
      <c r="H300" s="6" t="n"/>
      <c r="I300" s="2">
        <f>IF(OR(E300="",G300="",H300=""),"",IF(E300="Short",G300-H300,H300-G300))</f>
        <v/>
      </c>
      <c r="J300" s="6">
        <f>IF(I300="","",I300*F300*Settings!$B$3)</f>
        <v/>
      </c>
      <c r="K300" s="6" t="n"/>
      <c r="L300" s="6">
        <f>IF(J300="","",J300-K300)</f>
        <v/>
      </c>
      <c r="M300" s="6">
        <f>IF(C300="","",N299)</f>
        <v/>
      </c>
      <c r="N300" s="6">
        <f>IF(L300="","",M300+L300)</f>
        <v/>
      </c>
      <c r="O300" s="6">
        <f>IF(N300="","",MAX(Settings!$B$7,N$2:N300))</f>
        <v/>
      </c>
      <c r="P300" s="6">
        <f>IF(N300="","",N300-O300)</f>
        <v/>
      </c>
      <c r="Q300" s="2">
        <f>IF(L300="","",IF(L300&gt;0,"Win",IF(L300&lt;0,"Loss","Flat")))</f>
        <v/>
      </c>
      <c r="R300" s="2" t="n"/>
    </row>
    <row r="301">
      <c r="A301" s="2">
        <f>IF(C301&lt;&gt;"",A300+1,"")</f>
        <v/>
      </c>
      <c r="B301" s="2" t="n"/>
      <c r="C301" s="2" t="n"/>
      <c r="D301" s="2" t="n"/>
      <c r="E301" s="2" t="n"/>
      <c r="F301" s="2" t="n"/>
      <c r="G301" s="6" t="n"/>
      <c r="H301" s="6" t="n"/>
      <c r="I301" s="2">
        <f>IF(OR(E301="",G301="",H301=""),"",IF(E301="Short",G301-H301,H301-G301))</f>
        <v/>
      </c>
      <c r="J301" s="6">
        <f>IF(I301="","",I301*F301*Settings!$B$3)</f>
        <v/>
      </c>
      <c r="K301" s="6" t="n"/>
      <c r="L301" s="6">
        <f>IF(J301="","",J301-K301)</f>
        <v/>
      </c>
      <c r="M301" s="6">
        <f>IF(C301="","",N300)</f>
        <v/>
      </c>
      <c r="N301" s="6">
        <f>IF(L301="","",M301+L301)</f>
        <v/>
      </c>
      <c r="O301" s="6">
        <f>IF(N301="","",MAX(Settings!$B$7,N$2:N301))</f>
        <v/>
      </c>
      <c r="P301" s="6">
        <f>IF(N301="","",N301-O301)</f>
        <v/>
      </c>
      <c r="Q301" s="2">
        <f>IF(L301="","",IF(L301&gt;0,"Win",IF(L301&lt;0,"Loss","Flat")))</f>
        <v/>
      </c>
      <c r="R301" s="2" t="n"/>
    </row>
    <row r="302">
      <c r="A302" s="2">
        <f>IF(C302&lt;&gt;"",A301+1,"")</f>
        <v/>
      </c>
      <c r="B302" s="2" t="n"/>
      <c r="C302" s="2" t="n"/>
      <c r="D302" s="2" t="n"/>
      <c r="E302" s="2" t="n"/>
      <c r="F302" s="2" t="n"/>
      <c r="G302" s="6" t="n"/>
      <c r="H302" s="6" t="n"/>
      <c r="I302" s="2">
        <f>IF(OR(E302="",G302="",H302=""),"",IF(E302="Short",G302-H302,H302-G302))</f>
        <v/>
      </c>
      <c r="J302" s="6">
        <f>IF(I302="","",I302*F302*Settings!$B$3)</f>
        <v/>
      </c>
      <c r="K302" s="6" t="n"/>
      <c r="L302" s="6">
        <f>IF(J302="","",J302-K302)</f>
        <v/>
      </c>
      <c r="M302" s="6">
        <f>IF(C302="","",N301)</f>
        <v/>
      </c>
      <c r="N302" s="6">
        <f>IF(L302="","",M302+L302)</f>
        <v/>
      </c>
      <c r="O302" s="6">
        <f>IF(N302="","",MAX(Settings!$B$7,N$2:N302))</f>
        <v/>
      </c>
      <c r="P302" s="6">
        <f>IF(N302="","",N302-O302)</f>
        <v/>
      </c>
      <c r="Q302" s="2">
        <f>IF(L302="","",IF(L302&gt;0,"Win",IF(L302&lt;0,"Loss","Flat")))</f>
        <v/>
      </c>
      <c r="R302" s="2" t="n"/>
    </row>
    <row r="303">
      <c r="A303" s="2">
        <f>IF(C303&lt;&gt;"",A302+1,"")</f>
        <v/>
      </c>
      <c r="B303" s="2" t="n"/>
      <c r="C303" s="2" t="n"/>
      <c r="D303" s="2" t="n"/>
      <c r="E303" s="2" t="n"/>
      <c r="F303" s="2" t="n"/>
      <c r="G303" s="6" t="n"/>
      <c r="H303" s="6" t="n"/>
      <c r="I303" s="2">
        <f>IF(OR(E303="",G303="",H303=""),"",IF(E303="Short",G303-H303,H303-G303))</f>
        <v/>
      </c>
      <c r="J303" s="6">
        <f>IF(I303="","",I303*F303*Settings!$B$3)</f>
        <v/>
      </c>
      <c r="K303" s="6" t="n"/>
      <c r="L303" s="6">
        <f>IF(J303="","",J303-K303)</f>
        <v/>
      </c>
      <c r="M303" s="6">
        <f>IF(C303="","",N302)</f>
        <v/>
      </c>
      <c r="N303" s="6">
        <f>IF(L303="","",M303+L303)</f>
        <v/>
      </c>
      <c r="O303" s="6">
        <f>IF(N303="","",MAX(Settings!$B$7,N$2:N303))</f>
        <v/>
      </c>
      <c r="P303" s="6">
        <f>IF(N303="","",N303-O303)</f>
        <v/>
      </c>
      <c r="Q303" s="2">
        <f>IF(L303="","",IF(L303&gt;0,"Win",IF(L303&lt;0,"Loss","Flat")))</f>
        <v/>
      </c>
      <c r="R303" s="2" t="n"/>
    </row>
    <row r="304">
      <c r="A304" s="2">
        <f>IF(C304&lt;&gt;"",A303+1,"")</f>
        <v/>
      </c>
      <c r="B304" s="2" t="n"/>
      <c r="C304" s="2" t="n"/>
      <c r="D304" s="2" t="n"/>
      <c r="E304" s="2" t="n"/>
      <c r="F304" s="2" t="n"/>
      <c r="G304" s="6" t="n"/>
      <c r="H304" s="6" t="n"/>
      <c r="I304" s="2">
        <f>IF(OR(E304="",G304="",H304=""),"",IF(E304="Short",G304-H304,H304-G304))</f>
        <v/>
      </c>
      <c r="J304" s="6">
        <f>IF(I304="","",I304*F304*Settings!$B$3)</f>
        <v/>
      </c>
      <c r="K304" s="6" t="n"/>
      <c r="L304" s="6">
        <f>IF(J304="","",J304-K304)</f>
        <v/>
      </c>
      <c r="M304" s="6">
        <f>IF(C304="","",N303)</f>
        <v/>
      </c>
      <c r="N304" s="6">
        <f>IF(L304="","",M304+L304)</f>
        <v/>
      </c>
      <c r="O304" s="6">
        <f>IF(N304="","",MAX(Settings!$B$7,N$2:N304))</f>
        <v/>
      </c>
      <c r="P304" s="6">
        <f>IF(N304="","",N304-O304)</f>
        <v/>
      </c>
      <c r="Q304" s="2">
        <f>IF(L304="","",IF(L304&gt;0,"Win",IF(L304&lt;0,"Loss","Flat")))</f>
        <v/>
      </c>
      <c r="R304" s="2" t="n"/>
    </row>
    <row r="305">
      <c r="A305" s="2">
        <f>IF(C305&lt;&gt;"",A304+1,"")</f>
        <v/>
      </c>
      <c r="B305" s="2" t="n"/>
      <c r="C305" s="2" t="n"/>
      <c r="D305" s="2" t="n"/>
      <c r="E305" s="2" t="n"/>
      <c r="F305" s="2" t="n"/>
      <c r="G305" s="6" t="n"/>
      <c r="H305" s="6" t="n"/>
      <c r="I305" s="2">
        <f>IF(OR(E305="",G305="",H305=""),"",IF(E305="Short",G305-H305,H305-G305))</f>
        <v/>
      </c>
      <c r="J305" s="6">
        <f>IF(I305="","",I305*F305*Settings!$B$3)</f>
        <v/>
      </c>
      <c r="K305" s="6" t="n"/>
      <c r="L305" s="6">
        <f>IF(J305="","",J305-K305)</f>
        <v/>
      </c>
      <c r="M305" s="6">
        <f>IF(C305="","",N304)</f>
        <v/>
      </c>
      <c r="N305" s="6">
        <f>IF(L305="","",M305+L305)</f>
        <v/>
      </c>
      <c r="O305" s="6">
        <f>IF(N305="","",MAX(Settings!$B$7,N$2:N305))</f>
        <v/>
      </c>
      <c r="P305" s="6">
        <f>IF(N305="","",N305-O305)</f>
        <v/>
      </c>
      <c r="Q305" s="2">
        <f>IF(L305="","",IF(L305&gt;0,"Win",IF(L305&lt;0,"Loss","Flat")))</f>
        <v/>
      </c>
      <c r="R305" s="2" t="n"/>
    </row>
    <row r="306">
      <c r="A306" s="2">
        <f>IF(C306&lt;&gt;"",A305+1,"")</f>
        <v/>
      </c>
      <c r="B306" s="2" t="n"/>
      <c r="C306" s="2" t="n"/>
      <c r="D306" s="2" t="n"/>
      <c r="E306" s="2" t="n"/>
      <c r="F306" s="2" t="n"/>
      <c r="G306" s="6" t="n"/>
      <c r="H306" s="6" t="n"/>
      <c r="I306" s="2">
        <f>IF(OR(E306="",G306="",H306=""),"",IF(E306="Short",G306-H306,H306-G306))</f>
        <v/>
      </c>
      <c r="J306" s="6">
        <f>IF(I306="","",I306*F306*Settings!$B$3)</f>
        <v/>
      </c>
      <c r="K306" s="6" t="n"/>
      <c r="L306" s="6">
        <f>IF(J306="","",J306-K306)</f>
        <v/>
      </c>
      <c r="M306" s="6">
        <f>IF(C306="","",N305)</f>
        <v/>
      </c>
      <c r="N306" s="6">
        <f>IF(L306="","",M306+L306)</f>
        <v/>
      </c>
      <c r="O306" s="6">
        <f>IF(N306="","",MAX(Settings!$B$7,N$2:N306))</f>
        <v/>
      </c>
      <c r="P306" s="6">
        <f>IF(N306="","",N306-O306)</f>
        <v/>
      </c>
      <c r="Q306" s="2">
        <f>IF(L306="","",IF(L306&gt;0,"Win",IF(L306&lt;0,"Loss","Flat")))</f>
        <v/>
      </c>
      <c r="R306" s="2" t="n"/>
    </row>
    <row r="307">
      <c r="A307" s="2">
        <f>IF(C307&lt;&gt;"",A306+1,"")</f>
        <v/>
      </c>
      <c r="B307" s="2" t="n"/>
      <c r="C307" s="2" t="n"/>
      <c r="D307" s="2" t="n"/>
      <c r="E307" s="2" t="n"/>
      <c r="F307" s="2" t="n"/>
      <c r="G307" s="6" t="n"/>
      <c r="H307" s="6" t="n"/>
      <c r="I307" s="2">
        <f>IF(OR(E307="",G307="",H307=""),"",IF(E307="Short",G307-H307,H307-G307))</f>
        <v/>
      </c>
      <c r="J307" s="6">
        <f>IF(I307="","",I307*F307*Settings!$B$3)</f>
        <v/>
      </c>
      <c r="K307" s="6" t="n"/>
      <c r="L307" s="6">
        <f>IF(J307="","",J307-K307)</f>
        <v/>
      </c>
      <c r="M307" s="6">
        <f>IF(C307="","",N306)</f>
        <v/>
      </c>
      <c r="N307" s="6">
        <f>IF(L307="","",M307+L307)</f>
        <v/>
      </c>
      <c r="O307" s="6">
        <f>IF(N307="","",MAX(Settings!$B$7,N$2:N307))</f>
        <v/>
      </c>
      <c r="P307" s="6">
        <f>IF(N307="","",N307-O307)</f>
        <v/>
      </c>
      <c r="Q307" s="2">
        <f>IF(L307="","",IF(L307&gt;0,"Win",IF(L307&lt;0,"Loss","Flat")))</f>
        <v/>
      </c>
      <c r="R307" s="2" t="n"/>
    </row>
    <row r="308">
      <c r="A308" s="2">
        <f>IF(C308&lt;&gt;"",A307+1,"")</f>
        <v/>
      </c>
      <c r="B308" s="2" t="n"/>
      <c r="C308" s="2" t="n"/>
      <c r="D308" s="2" t="n"/>
      <c r="E308" s="2" t="n"/>
      <c r="F308" s="2" t="n"/>
      <c r="G308" s="6" t="n"/>
      <c r="H308" s="6" t="n"/>
      <c r="I308" s="2">
        <f>IF(OR(E308="",G308="",H308=""),"",IF(E308="Short",G308-H308,H308-G308))</f>
        <v/>
      </c>
      <c r="J308" s="6">
        <f>IF(I308="","",I308*F308*Settings!$B$3)</f>
        <v/>
      </c>
      <c r="K308" s="6" t="n"/>
      <c r="L308" s="6">
        <f>IF(J308="","",J308-K308)</f>
        <v/>
      </c>
      <c r="M308" s="6">
        <f>IF(C308="","",N307)</f>
        <v/>
      </c>
      <c r="N308" s="6">
        <f>IF(L308="","",M308+L308)</f>
        <v/>
      </c>
      <c r="O308" s="6">
        <f>IF(N308="","",MAX(Settings!$B$7,N$2:N308))</f>
        <v/>
      </c>
      <c r="P308" s="6">
        <f>IF(N308="","",N308-O308)</f>
        <v/>
      </c>
      <c r="Q308" s="2">
        <f>IF(L308="","",IF(L308&gt;0,"Win",IF(L308&lt;0,"Loss","Flat")))</f>
        <v/>
      </c>
      <c r="R308" s="2" t="n"/>
    </row>
    <row r="309">
      <c r="A309" s="2">
        <f>IF(C309&lt;&gt;"",A308+1,"")</f>
        <v/>
      </c>
      <c r="B309" s="2" t="n"/>
      <c r="C309" s="2" t="n"/>
      <c r="D309" s="2" t="n"/>
      <c r="E309" s="2" t="n"/>
      <c r="F309" s="2" t="n"/>
      <c r="G309" s="6" t="n"/>
      <c r="H309" s="6" t="n"/>
      <c r="I309" s="2">
        <f>IF(OR(E309="",G309="",H309=""),"",IF(E309="Short",G309-H309,H309-G309))</f>
        <v/>
      </c>
      <c r="J309" s="6">
        <f>IF(I309="","",I309*F309*Settings!$B$3)</f>
        <v/>
      </c>
      <c r="K309" s="6" t="n"/>
      <c r="L309" s="6">
        <f>IF(J309="","",J309-K309)</f>
        <v/>
      </c>
      <c r="M309" s="6">
        <f>IF(C309="","",N308)</f>
        <v/>
      </c>
      <c r="N309" s="6">
        <f>IF(L309="","",M309+L309)</f>
        <v/>
      </c>
      <c r="O309" s="6">
        <f>IF(N309="","",MAX(Settings!$B$7,N$2:N309))</f>
        <v/>
      </c>
      <c r="P309" s="6">
        <f>IF(N309="","",N309-O309)</f>
        <v/>
      </c>
      <c r="Q309" s="2">
        <f>IF(L309="","",IF(L309&gt;0,"Win",IF(L309&lt;0,"Loss","Flat")))</f>
        <v/>
      </c>
      <c r="R309" s="2" t="n"/>
    </row>
    <row r="310">
      <c r="A310" s="2">
        <f>IF(C310&lt;&gt;"",A309+1,"")</f>
        <v/>
      </c>
      <c r="B310" s="2" t="n"/>
      <c r="C310" s="2" t="n"/>
      <c r="D310" s="2" t="n"/>
      <c r="E310" s="2" t="n"/>
      <c r="F310" s="2" t="n"/>
      <c r="G310" s="6" t="n"/>
      <c r="H310" s="6" t="n"/>
      <c r="I310" s="2">
        <f>IF(OR(E310="",G310="",H310=""),"",IF(E310="Short",G310-H310,H310-G310))</f>
        <v/>
      </c>
      <c r="J310" s="6">
        <f>IF(I310="","",I310*F310*Settings!$B$3)</f>
        <v/>
      </c>
      <c r="K310" s="6" t="n"/>
      <c r="L310" s="6">
        <f>IF(J310="","",J310-K310)</f>
        <v/>
      </c>
      <c r="M310" s="6">
        <f>IF(C310="","",N309)</f>
        <v/>
      </c>
      <c r="N310" s="6">
        <f>IF(L310="","",M310+L310)</f>
        <v/>
      </c>
      <c r="O310" s="6">
        <f>IF(N310="","",MAX(Settings!$B$7,N$2:N310))</f>
        <v/>
      </c>
      <c r="P310" s="6">
        <f>IF(N310="","",N310-O310)</f>
        <v/>
      </c>
      <c r="Q310" s="2">
        <f>IF(L310="","",IF(L310&gt;0,"Win",IF(L310&lt;0,"Loss","Flat")))</f>
        <v/>
      </c>
      <c r="R310" s="2" t="n"/>
    </row>
    <row r="311">
      <c r="A311" s="2">
        <f>IF(C311&lt;&gt;"",A310+1,"")</f>
        <v/>
      </c>
      <c r="B311" s="2" t="n"/>
      <c r="C311" s="2" t="n"/>
      <c r="D311" s="2" t="n"/>
      <c r="E311" s="2" t="n"/>
      <c r="F311" s="2" t="n"/>
      <c r="G311" s="6" t="n"/>
      <c r="H311" s="6" t="n"/>
      <c r="I311" s="2">
        <f>IF(OR(E311="",G311="",H311=""),"",IF(E311="Short",G311-H311,H311-G311))</f>
        <v/>
      </c>
      <c r="J311" s="6">
        <f>IF(I311="","",I311*F311*Settings!$B$3)</f>
        <v/>
      </c>
      <c r="K311" s="6" t="n"/>
      <c r="L311" s="6">
        <f>IF(J311="","",J311-K311)</f>
        <v/>
      </c>
      <c r="M311" s="6">
        <f>IF(C311="","",N310)</f>
        <v/>
      </c>
      <c r="N311" s="6">
        <f>IF(L311="","",M311+L311)</f>
        <v/>
      </c>
      <c r="O311" s="6">
        <f>IF(N311="","",MAX(Settings!$B$7,N$2:N311))</f>
        <v/>
      </c>
      <c r="P311" s="6">
        <f>IF(N311="","",N311-O311)</f>
        <v/>
      </c>
      <c r="Q311" s="2">
        <f>IF(L311="","",IF(L311&gt;0,"Win",IF(L311&lt;0,"Loss","Flat")))</f>
        <v/>
      </c>
      <c r="R311" s="2" t="n"/>
    </row>
    <row r="312">
      <c r="A312" s="2">
        <f>IF(C312&lt;&gt;"",A311+1,"")</f>
        <v/>
      </c>
      <c r="B312" s="2" t="n"/>
      <c r="C312" s="2" t="n"/>
      <c r="D312" s="2" t="n"/>
      <c r="E312" s="2" t="n"/>
      <c r="F312" s="2" t="n"/>
      <c r="G312" s="6" t="n"/>
      <c r="H312" s="6" t="n"/>
      <c r="I312" s="2">
        <f>IF(OR(E312="",G312="",H312=""),"",IF(E312="Short",G312-H312,H312-G312))</f>
        <v/>
      </c>
      <c r="J312" s="6">
        <f>IF(I312="","",I312*F312*Settings!$B$3)</f>
        <v/>
      </c>
      <c r="K312" s="6" t="n"/>
      <c r="L312" s="6">
        <f>IF(J312="","",J312-K312)</f>
        <v/>
      </c>
      <c r="M312" s="6">
        <f>IF(C312="","",N311)</f>
        <v/>
      </c>
      <c r="N312" s="6">
        <f>IF(L312="","",M312+L312)</f>
        <v/>
      </c>
      <c r="O312" s="6">
        <f>IF(N312="","",MAX(Settings!$B$7,N$2:N312))</f>
        <v/>
      </c>
      <c r="P312" s="6">
        <f>IF(N312="","",N312-O312)</f>
        <v/>
      </c>
      <c r="Q312" s="2">
        <f>IF(L312="","",IF(L312&gt;0,"Win",IF(L312&lt;0,"Loss","Flat")))</f>
        <v/>
      </c>
      <c r="R312" s="2" t="n"/>
    </row>
    <row r="313">
      <c r="A313" s="2">
        <f>IF(C313&lt;&gt;"",A312+1,"")</f>
        <v/>
      </c>
      <c r="B313" s="2" t="n"/>
      <c r="C313" s="2" t="n"/>
      <c r="D313" s="2" t="n"/>
      <c r="E313" s="2" t="n"/>
      <c r="F313" s="2" t="n"/>
      <c r="G313" s="6" t="n"/>
      <c r="H313" s="6" t="n"/>
      <c r="I313" s="2">
        <f>IF(OR(E313="",G313="",H313=""),"",IF(E313="Short",G313-H313,H313-G313))</f>
        <v/>
      </c>
      <c r="J313" s="6">
        <f>IF(I313="","",I313*F313*Settings!$B$3)</f>
        <v/>
      </c>
      <c r="K313" s="6" t="n"/>
      <c r="L313" s="6">
        <f>IF(J313="","",J313-K313)</f>
        <v/>
      </c>
      <c r="M313" s="6">
        <f>IF(C313="","",N312)</f>
        <v/>
      </c>
      <c r="N313" s="6">
        <f>IF(L313="","",M313+L313)</f>
        <v/>
      </c>
      <c r="O313" s="6">
        <f>IF(N313="","",MAX(Settings!$B$7,N$2:N313))</f>
        <v/>
      </c>
      <c r="P313" s="6">
        <f>IF(N313="","",N313-O313)</f>
        <v/>
      </c>
      <c r="Q313" s="2">
        <f>IF(L313="","",IF(L313&gt;0,"Win",IF(L313&lt;0,"Loss","Flat")))</f>
        <v/>
      </c>
      <c r="R313" s="2" t="n"/>
    </row>
    <row r="314">
      <c r="A314" s="2">
        <f>IF(C314&lt;&gt;"",A313+1,"")</f>
        <v/>
      </c>
      <c r="B314" s="2" t="n"/>
      <c r="C314" s="2" t="n"/>
      <c r="D314" s="2" t="n"/>
      <c r="E314" s="2" t="n"/>
      <c r="F314" s="2" t="n"/>
      <c r="G314" s="6" t="n"/>
      <c r="H314" s="6" t="n"/>
      <c r="I314" s="2">
        <f>IF(OR(E314="",G314="",H314=""),"",IF(E314="Short",G314-H314,H314-G314))</f>
        <v/>
      </c>
      <c r="J314" s="6">
        <f>IF(I314="","",I314*F314*Settings!$B$3)</f>
        <v/>
      </c>
      <c r="K314" s="6" t="n"/>
      <c r="L314" s="6">
        <f>IF(J314="","",J314-K314)</f>
        <v/>
      </c>
      <c r="M314" s="6">
        <f>IF(C314="","",N313)</f>
        <v/>
      </c>
      <c r="N314" s="6">
        <f>IF(L314="","",M314+L314)</f>
        <v/>
      </c>
      <c r="O314" s="6">
        <f>IF(N314="","",MAX(Settings!$B$7,N$2:N314))</f>
        <v/>
      </c>
      <c r="P314" s="6">
        <f>IF(N314="","",N314-O314)</f>
        <v/>
      </c>
      <c r="Q314" s="2">
        <f>IF(L314="","",IF(L314&gt;0,"Win",IF(L314&lt;0,"Loss","Flat")))</f>
        <v/>
      </c>
      <c r="R314" s="2" t="n"/>
    </row>
    <row r="315">
      <c r="A315" s="2">
        <f>IF(C315&lt;&gt;"",A314+1,"")</f>
        <v/>
      </c>
      <c r="B315" s="2" t="n"/>
      <c r="C315" s="2" t="n"/>
      <c r="D315" s="2" t="n"/>
      <c r="E315" s="2" t="n"/>
      <c r="F315" s="2" t="n"/>
      <c r="G315" s="6" t="n"/>
      <c r="H315" s="6" t="n"/>
      <c r="I315" s="2">
        <f>IF(OR(E315="",G315="",H315=""),"",IF(E315="Short",G315-H315,H315-G315))</f>
        <v/>
      </c>
      <c r="J315" s="6">
        <f>IF(I315="","",I315*F315*Settings!$B$3)</f>
        <v/>
      </c>
      <c r="K315" s="6" t="n"/>
      <c r="L315" s="6">
        <f>IF(J315="","",J315-K315)</f>
        <v/>
      </c>
      <c r="M315" s="6">
        <f>IF(C315="","",N314)</f>
        <v/>
      </c>
      <c r="N315" s="6">
        <f>IF(L315="","",M315+L315)</f>
        <v/>
      </c>
      <c r="O315" s="6">
        <f>IF(N315="","",MAX(Settings!$B$7,N$2:N315))</f>
        <v/>
      </c>
      <c r="P315" s="6">
        <f>IF(N315="","",N315-O315)</f>
        <v/>
      </c>
      <c r="Q315" s="2">
        <f>IF(L315="","",IF(L315&gt;0,"Win",IF(L315&lt;0,"Loss","Flat")))</f>
        <v/>
      </c>
      <c r="R315" s="2" t="n"/>
    </row>
    <row r="316">
      <c r="A316" s="2">
        <f>IF(C316&lt;&gt;"",A315+1,"")</f>
        <v/>
      </c>
      <c r="B316" s="2" t="n"/>
      <c r="C316" s="2" t="n"/>
      <c r="D316" s="2" t="n"/>
      <c r="E316" s="2" t="n"/>
      <c r="F316" s="2" t="n"/>
      <c r="G316" s="6" t="n"/>
      <c r="H316" s="6" t="n"/>
      <c r="I316" s="2">
        <f>IF(OR(E316="",G316="",H316=""),"",IF(E316="Short",G316-H316,H316-G316))</f>
        <v/>
      </c>
      <c r="J316" s="6">
        <f>IF(I316="","",I316*F316*Settings!$B$3)</f>
        <v/>
      </c>
      <c r="K316" s="6" t="n"/>
      <c r="L316" s="6">
        <f>IF(J316="","",J316-K316)</f>
        <v/>
      </c>
      <c r="M316" s="6">
        <f>IF(C316="","",N315)</f>
        <v/>
      </c>
      <c r="N316" s="6">
        <f>IF(L316="","",M316+L316)</f>
        <v/>
      </c>
      <c r="O316" s="6">
        <f>IF(N316="","",MAX(Settings!$B$7,N$2:N316))</f>
        <v/>
      </c>
      <c r="P316" s="6">
        <f>IF(N316="","",N316-O316)</f>
        <v/>
      </c>
      <c r="Q316" s="2">
        <f>IF(L316="","",IF(L316&gt;0,"Win",IF(L316&lt;0,"Loss","Flat")))</f>
        <v/>
      </c>
      <c r="R316" s="2" t="n"/>
    </row>
    <row r="317">
      <c r="A317" s="2">
        <f>IF(C317&lt;&gt;"",A316+1,"")</f>
        <v/>
      </c>
      <c r="B317" s="2" t="n"/>
      <c r="C317" s="2" t="n"/>
      <c r="D317" s="2" t="n"/>
      <c r="E317" s="2" t="n"/>
      <c r="F317" s="2" t="n"/>
      <c r="G317" s="6" t="n"/>
      <c r="H317" s="6" t="n"/>
      <c r="I317" s="2">
        <f>IF(OR(E317="",G317="",H317=""),"",IF(E317="Short",G317-H317,H317-G317))</f>
        <v/>
      </c>
      <c r="J317" s="6">
        <f>IF(I317="","",I317*F317*Settings!$B$3)</f>
        <v/>
      </c>
      <c r="K317" s="6" t="n"/>
      <c r="L317" s="6">
        <f>IF(J317="","",J317-K317)</f>
        <v/>
      </c>
      <c r="M317" s="6">
        <f>IF(C317="","",N316)</f>
        <v/>
      </c>
      <c r="N317" s="6">
        <f>IF(L317="","",M317+L317)</f>
        <v/>
      </c>
      <c r="O317" s="6">
        <f>IF(N317="","",MAX(Settings!$B$7,N$2:N317))</f>
        <v/>
      </c>
      <c r="P317" s="6">
        <f>IF(N317="","",N317-O317)</f>
        <v/>
      </c>
      <c r="Q317" s="2">
        <f>IF(L317="","",IF(L317&gt;0,"Win",IF(L317&lt;0,"Loss","Flat")))</f>
        <v/>
      </c>
      <c r="R317" s="2" t="n"/>
    </row>
    <row r="318">
      <c r="A318" s="2">
        <f>IF(C318&lt;&gt;"",A317+1,"")</f>
        <v/>
      </c>
      <c r="B318" s="2" t="n"/>
      <c r="C318" s="2" t="n"/>
      <c r="D318" s="2" t="n"/>
      <c r="E318" s="2" t="n"/>
      <c r="F318" s="2" t="n"/>
      <c r="G318" s="6" t="n"/>
      <c r="H318" s="6" t="n"/>
      <c r="I318" s="2">
        <f>IF(OR(E318="",G318="",H318=""),"",IF(E318="Short",G318-H318,H318-G318))</f>
        <v/>
      </c>
      <c r="J318" s="6">
        <f>IF(I318="","",I318*F318*Settings!$B$3)</f>
        <v/>
      </c>
      <c r="K318" s="6" t="n"/>
      <c r="L318" s="6">
        <f>IF(J318="","",J318-K318)</f>
        <v/>
      </c>
      <c r="M318" s="6">
        <f>IF(C318="","",N317)</f>
        <v/>
      </c>
      <c r="N318" s="6">
        <f>IF(L318="","",M318+L318)</f>
        <v/>
      </c>
      <c r="O318" s="6">
        <f>IF(N318="","",MAX(Settings!$B$7,N$2:N318))</f>
        <v/>
      </c>
      <c r="P318" s="6">
        <f>IF(N318="","",N318-O318)</f>
        <v/>
      </c>
      <c r="Q318" s="2">
        <f>IF(L318="","",IF(L318&gt;0,"Win",IF(L318&lt;0,"Loss","Flat")))</f>
        <v/>
      </c>
      <c r="R318" s="2" t="n"/>
    </row>
    <row r="319">
      <c r="A319" s="2">
        <f>IF(C319&lt;&gt;"",A318+1,"")</f>
        <v/>
      </c>
      <c r="B319" s="2" t="n"/>
      <c r="C319" s="2" t="n"/>
      <c r="D319" s="2" t="n"/>
      <c r="E319" s="2" t="n"/>
      <c r="F319" s="2" t="n"/>
      <c r="G319" s="6" t="n"/>
      <c r="H319" s="6" t="n"/>
      <c r="I319" s="2">
        <f>IF(OR(E319="",G319="",H319=""),"",IF(E319="Short",G319-H319,H319-G319))</f>
        <v/>
      </c>
      <c r="J319" s="6">
        <f>IF(I319="","",I319*F319*Settings!$B$3)</f>
        <v/>
      </c>
      <c r="K319" s="6" t="n"/>
      <c r="L319" s="6">
        <f>IF(J319="","",J319-K319)</f>
        <v/>
      </c>
      <c r="M319" s="6">
        <f>IF(C319="","",N318)</f>
        <v/>
      </c>
      <c r="N319" s="6">
        <f>IF(L319="","",M319+L319)</f>
        <v/>
      </c>
      <c r="O319" s="6">
        <f>IF(N319="","",MAX(Settings!$B$7,N$2:N319))</f>
        <v/>
      </c>
      <c r="P319" s="6">
        <f>IF(N319="","",N319-O319)</f>
        <v/>
      </c>
      <c r="Q319" s="2">
        <f>IF(L319="","",IF(L319&gt;0,"Win",IF(L319&lt;0,"Loss","Flat")))</f>
        <v/>
      </c>
      <c r="R319" s="2" t="n"/>
    </row>
    <row r="320">
      <c r="A320" s="2">
        <f>IF(C320&lt;&gt;"",A319+1,"")</f>
        <v/>
      </c>
      <c r="B320" s="2" t="n"/>
      <c r="C320" s="2" t="n"/>
      <c r="D320" s="2" t="n"/>
      <c r="E320" s="2" t="n"/>
      <c r="F320" s="2" t="n"/>
      <c r="G320" s="6" t="n"/>
      <c r="H320" s="6" t="n"/>
      <c r="I320" s="2">
        <f>IF(OR(E320="",G320="",H320=""),"",IF(E320="Short",G320-H320,H320-G320))</f>
        <v/>
      </c>
      <c r="J320" s="6">
        <f>IF(I320="","",I320*F320*Settings!$B$3)</f>
        <v/>
      </c>
      <c r="K320" s="6" t="n"/>
      <c r="L320" s="6">
        <f>IF(J320="","",J320-K320)</f>
        <v/>
      </c>
      <c r="M320" s="6">
        <f>IF(C320="","",N319)</f>
        <v/>
      </c>
      <c r="N320" s="6">
        <f>IF(L320="","",M320+L320)</f>
        <v/>
      </c>
      <c r="O320" s="6">
        <f>IF(N320="","",MAX(Settings!$B$7,N$2:N320))</f>
        <v/>
      </c>
      <c r="P320" s="6">
        <f>IF(N320="","",N320-O320)</f>
        <v/>
      </c>
      <c r="Q320" s="2">
        <f>IF(L320="","",IF(L320&gt;0,"Win",IF(L320&lt;0,"Loss","Flat")))</f>
        <v/>
      </c>
      <c r="R320" s="2" t="n"/>
    </row>
    <row r="321">
      <c r="A321" s="2">
        <f>IF(C321&lt;&gt;"",A320+1,"")</f>
        <v/>
      </c>
      <c r="B321" s="2" t="n"/>
      <c r="C321" s="2" t="n"/>
      <c r="D321" s="2" t="n"/>
      <c r="E321" s="2" t="n"/>
      <c r="F321" s="2" t="n"/>
      <c r="G321" s="6" t="n"/>
      <c r="H321" s="6" t="n"/>
      <c r="I321" s="2">
        <f>IF(OR(E321="",G321="",H321=""),"",IF(E321="Short",G321-H321,H321-G321))</f>
        <v/>
      </c>
      <c r="J321" s="6">
        <f>IF(I321="","",I321*F321*Settings!$B$3)</f>
        <v/>
      </c>
      <c r="K321" s="6" t="n"/>
      <c r="L321" s="6">
        <f>IF(J321="","",J321-K321)</f>
        <v/>
      </c>
      <c r="M321" s="6">
        <f>IF(C321="","",N320)</f>
        <v/>
      </c>
      <c r="N321" s="6">
        <f>IF(L321="","",M321+L321)</f>
        <v/>
      </c>
      <c r="O321" s="6">
        <f>IF(N321="","",MAX(Settings!$B$7,N$2:N321))</f>
        <v/>
      </c>
      <c r="P321" s="6">
        <f>IF(N321="","",N321-O321)</f>
        <v/>
      </c>
      <c r="Q321" s="2">
        <f>IF(L321="","",IF(L321&gt;0,"Win",IF(L321&lt;0,"Loss","Flat")))</f>
        <v/>
      </c>
      <c r="R321" s="2" t="n"/>
    </row>
    <row r="322">
      <c r="A322" s="2">
        <f>IF(C322&lt;&gt;"",A321+1,"")</f>
        <v/>
      </c>
      <c r="B322" s="2" t="n"/>
      <c r="C322" s="2" t="n"/>
      <c r="D322" s="2" t="n"/>
      <c r="E322" s="2" t="n"/>
      <c r="F322" s="2" t="n"/>
      <c r="G322" s="6" t="n"/>
      <c r="H322" s="6" t="n"/>
      <c r="I322" s="2">
        <f>IF(OR(E322="",G322="",H322=""),"",IF(E322="Short",G322-H322,H322-G322))</f>
        <v/>
      </c>
      <c r="J322" s="6">
        <f>IF(I322="","",I322*F322*Settings!$B$3)</f>
        <v/>
      </c>
      <c r="K322" s="6" t="n"/>
      <c r="L322" s="6">
        <f>IF(J322="","",J322-K322)</f>
        <v/>
      </c>
      <c r="M322" s="6">
        <f>IF(C322="","",N321)</f>
        <v/>
      </c>
      <c r="N322" s="6">
        <f>IF(L322="","",M322+L322)</f>
        <v/>
      </c>
      <c r="O322" s="6">
        <f>IF(N322="","",MAX(Settings!$B$7,N$2:N322))</f>
        <v/>
      </c>
      <c r="P322" s="6">
        <f>IF(N322="","",N322-O322)</f>
        <v/>
      </c>
      <c r="Q322" s="2">
        <f>IF(L322="","",IF(L322&gt;0,"Win",IF(L322&lt;0,"Loss","Flat")))</f>
        <v/>
      </c>
      <c r="R322" s="2" t="n"/>
    </row>
    <row r="323">
      <c r="A323" s="2">
        <f>IF(C323&lt;&gt;"",A322+1,"")</f>
        <v/>
      </c>
      <c r="B323" s="2" t="n"/>
      <c r="C323" s="2" t="n"/>
      <c r="D323" s="2" t="n"/>
      <c r="E323" s="2" t="n"/>
      <c r="F323" s="2" t="n"/>
      <c r="G323" s="6" t="n"/>
      <c r="H323" s="6" t="n"/>
      <c r="I323" s="2">
        <f>IF(OR(E323="",G323="",H323=""),"",IF(E323="Short",G323-H323,H323-G323))</f>
        <v/>
      </c>
      <c r="J323" s="6">
        <f>IF(I323="","",I323*F323*Settings!$B$3)</f>
        <v/>
      </c>
      <c r="K323" s="6" t="n"/>
      <c r="L323" s="6">
        <f>IF(J323="","",J323-K323)</f>
        <v/>
      </c>
      <c r="M323" s="6">
        <f>IF(C323="","",N322)</f>
        <v/>
      </c>
      <c r="N323" s="6">
        <f>IF(L323="","",M323+L323)</f>
        <v/>
      </c>
      <c r="O323" s="6">
        <f>IF(N323="","",MAX(Settings!$B$7,N$2:N323))</f>
        <v/>
      </c>
      <c r="P323" s="6">
        <f>IF(N323="","",N323-O323)</f>
        <v/>
      </c>
      <c r="Q323" s="2">
        <f>IF(L323="","",IF(L323&gt;0,"Win",IF(L323&lt;0,"Loss","Flat")))</f>
        <v/>
      </c>
      <c r="R323" s="2" t="n"/>
    </row>
    <row r="324">
      <c r="A324" s="2">
        <f>IF(C324&lt;&gt;"",A323+1,"")</f>
        <v/>
      </c>
      <c r="B324" s="2" t="n"/>
      <c r="C324" s="2" t="n"/>
      <c r="D324" s="2" t="n"/>
      <c r="E324" s="2" t="n"/>
      <c r="F324" s="2" t="n"/>
      <c r="G324" s="6" t="n"/>
      <c r="H324" s="6" t="n"/>
      <c r="I324" s="2">
        <f>IF(OR(E324="",G324="",H324=""),"",IF(E324="Short",G324-H324,H324-G324))</f>
        <v/>
      </c>
      <c r="J324" s="6">
        <f>IF(I324="","",I324*F324*Settings!$B$3)</f>
        <v/>
      </c>
      <c r="K324" s="6" t="n"/>
      <c r="L324" s="6">
        <f>IF(J324="","",J324-K324)</f>
        <v/>
      </c>
      <c r="M324" s="6">
        <f>IF(C324="","",N323)</f>
        <v/>
      </c>
      <c r="N324" s="6">
        <f>IF(L324="","",M324+L324)</f>
        <v/>
      </c>
      <c r="O324" s="6">
        <f>IF(N324="","",MAX(Settings!$B$7,N$2:N324))</f>
        <v/>
      </c>
      <c r="P324" s="6">
        <f>IF(N324="","",N324-O324)</f>
        <v/>
      </c>
      <c r="Q324" s="2">
        <f>IF(L324="","",IF(L324&gt;0,"Win",IF(L324&lt;0,"Loss","Flat")))</f>
        <v/>
      </c>
      <c r="R324" s="2" t="n"/>
    </row>
    <row r="325">
      <c r="A325" s="2">
        <f>IF(C325&lt;&gt;"",A324+1,"")</f>
        <v/>
      </c>
      <c r="B325" s="2" t="n"/>
      <c r="C325" s="2" t="n"/>
      <c r="D325" s="2" t="n"/>
      <c r="E325" s="2" t="n"/>
      <c r="F325" s="2" t="n"/>
      <c r="G325" s="6" t="n"/>
      <c r="H325" s="6" t="n"/>
      <c r="I325" s="2">
        <f>IF(OR(E325="",G325="",H325=""),"",IF(E325="Short",G325-H325,H325-G325))</f>
        <v/>
      </c>
      <c r="J325" s="6">
        <f>IF(I325="","",I325*F325*Settings!$B$3)</f>
        <v/>
      </c>
      <c r="K325" s="6" t="n"/>
      <c r="L325" s="6">
        <f>IF(J325="","",J325-K325)</f>
        <v/>
      </c>
      <c r="M325" s="6">
        <f>IF(C325="","",N324)</f>
        <v/>
      </c>
      <c r="N325" s="6">
        <f>IF(L325="","",M325+L325)</f>
        <v/>
      </c>
      <c r="O325" s="6">
        <f>IF(N325="","",MAX(Settings!$B$7,N$2:N325))</f>
        <v/>
      </c>
      <c r="P325" s="6">
        <f>IF(N325="","",N325-O325)</f>
        <v/>
      </c>
      <c r="Q325" s="2">
        <f>IF(L325="","",IF(L325&gt;0,"Win",IF(L325&lt;0,"Loss","Flat")))</f>
        <v/>
      </c>
      <c r="R325" s="2" t="n"/>
    </row>
    <row r="326">
      <c r="A326" s="2">
        <f>IF(C326&lt;&gt;"",A325+1,"")</f>
        <v/>
      </c>
      <c r="B326" s="2" t="n"/>
      <c r="C326" s="2" t="n"/>
      <c r="D326" s="2" t="n"/>
      <c r="E326" s="2" t="n"/>
      <c r="F326" s="2" t="n"/>
      <c r="G326" s="6" t="n"/>
      <c r="H326" s="6" t="n"/>
      <c r="I326" s="2">
        <f>IF(OR(E326="",G326="",H326=""),"",IF(E326="Short",G326-H326,H326-G326))</f>
        <v/>
      </c>
      <c r="J326" s="6">
        <f>IF(I326="","",I326*F326*Settings!$B$3)</f>
        <v/>
      </c>
      <c r="K326" s="6" t="n"/>
      <c r="L326" s="6">
        <f>IF(J326="","",J326-K326)</f>
        <v/>
      </c>
      <c r="M326" s="6">
        <f>IF(C326="","",N325)</f>
        <v/>
      </c>
      <c r="N326" s="6">
        <f>IF(L326="","",M326+L326)</f>
        <v/>
      </c>
      <c r="O326" s="6">
        <f>IF(N326="","",MAX(Settings!$B$7,N$2:N326))</f>
        <v/>
      </c>
      <c r="P326" s="6">
        <f>IF(N326="","",N326-O326)</f>
        <v/>
      </c>
      <c r="Q326" s="2">
        <f>IF(L326="","",IF(L326&gt;0,"Win",IF(L326&lt;0,"Loss","Flat")))</f>
        <v/>
      </c>
      <c r="R326" s="2" t="n"/>
    </row>
    <row r="327">
      <c r="A327" s="2">
        <f>IF(C327&lt;&gt;"",A326+1,"")</f>
        <v/>
      </c>
      <c r="B327" s="2" t="n"/>
      <c r="C327" s="2" t="n"/>
      <c r="D327" s="2" t="n"/>
      <c r="E327" s="2" t="n"/>
      <c r="F327" s="2" t="n"/>
      <c r="G327" s="6" t="n"/>
      <c r="H327" s="6" t="n"/>
      <c r="I327" s="2">
        <f>IF(OR(E327="",G327="",H327=""),"",IF(E327="Short",G327-H327,H327-G327))</f>
        <v/>
      </c>
      <c r="J327" s="6">
        <f>IF(I327="","",I327*F327*Settings!$B$3)</f>
        <v/>
      </c>
      <c r="K327" s="6" t="n"/>
      <c r="L327" s="6">
        <f>IF(J327="","",J327-K327)</f>
        <v/>
      </c>
      <c r="M327" s="6">
        <f>IF(C327="","",N326)</f>
        <v/>
      </c>
      <c r="N327" s="6">
        <f>IF(L327="","",M327+L327)</f>
        <v/>
      </c>
      <c r="O327" s="6">
        <f>IF(N327="","",MAX(Settings!$B$7,N$2:N327))</f>
        <v/>
      </c>
      <c r="P327" s="6">
        <f>IF(N327="","",N327-O327)</f>
        <v/>
      </c>
      <c r="Q327" s="2">
        <f>IF(L327="","",IF(L327&gt;0,"Win",IF(L327&lt;0,"Loss","Flat")))</f>
        <v/>
      </c>
      <c r="R327" s="2" t="n"/>
    </row>
    <row r="328">
      <c r="A328" s="2">
        <f>IF(C328&lt;&gt;"",A327+1,"")</f>
        <v/>
      </c>
      <c r="B328" s="2" t="n"/>
      <c r="C328" s="2" t="n"/>
      <c r="D328" s="2" t="n"/>
      <c r="E328" s="2" t="n"/>
      <c r="F328" s="2" t="n"/>
      <c r="G328" s="6" t="n"/>
      <c r="H328" s="6" t="n"/>
      <c r="I328" s="2">
        <f>IF(OR(E328="",G328="",H328=""),"",IF(E328="Short",G328-H328,H328-G328))</f>
        <v/>
      </c>
      <c r="J328" s="6">
        <f>IF(I328="","",I328*F328*Settings!$B$3)</f>
        <v/>
      </c>
      <c r="K328" s="6" t="n"/>
      <c r="L328" s="6">
        <f>IF(J328="","",J328-K328)</f>
        <v/>
      </c>
      <c r="M328" s="6">
        <f>IF(C328="","",N327)</f>
        <v/>
      </c>
      <c r="N328" s="6">
        <f>IF(L328="","",M328+L328)</f>
        <v/>
      </c>
      <c r="O328" s="6">
        <f>IF(N328="","",MAX(Settings!$B$7,N$2:N328))</f>
        <v/>
      </c>
      <c r="P328" s="6">
        <f>IF(N328="","",N328-O328)</f>
        <v/>
      </c>
      <c r="Q328" s="2">
        <f>IF(L328="","",IF(L328&gt;0,"Win",IF(L328&lt;0,"Loss","Flat")))</f>
        <v/>
      </c>
      <c r="R328" s="2" t="n"/>
    </row>
    <row r="329">
      <c r="A329" s="2">
        <f>IF(C329&lt;&gt;"",A328+1,"")</f>
        <v/>
      </c>
      <c r="B329" s="2" t="n"/>
      <c r="C329" s="2" t="n"/>
      <c r="D329" s="2" t="n"/>
      <c r="E329" s="2" t="n"/>
      <c r="F329" s="2" t="n"/>
      <c r="G329" s="6" t="n"/>
      <c r="H329" s="6" t="n"/>
      <c r="I329" s="2">
        <f>IF(OR(E329="",G329="",H329=""),"",IF(E329="Short",G329-H329,H329-G329))</f>
        <v/>
      </c>
      <c r="J329" s="6">
        <f>IF(I329="","",I329*F329*Settings!$B$3)</f>
        <v/>
      </c>
      <c r="K329" s="6" t="n"/>
      <c r="L329" s="6">
        <f>IF(J329="","",J329-K329)</f>
        <v/>
      </c>
      <c r="M329" s="6">
        <f>IF(C329="","",N328)</f>
        <v/>
      </c>
      <c r="N329" s="6">
        <f>IF(L329="","",M329+L329)</f>
        <v/>
      </c>
      <c r="O329" s="6">
        <f>IF(N329="","",MAX(Settings!$B$7,N$2:N329))</f>
        <v/>
      </c>
      <c r="P329" s="6">
        <f>IF(N329="","",N329-O329)</f>
        <v/>
      </c>
      <c r="Q329" s="2">
        <f>IF(L329="","",IF(L329&gt;0,"Win",IF(L329&lt;0,"Loss","Flat")))</f>
        <v/>
      </c>
      <c r="R329" s="2" t="n"/>
    </row>
    <row r="330">
      <c r="A330" s="2">
        <f>IF(C330&lt;&gt;"",A329+1,"")</f>
        <v/>
      </c>
      <c r="B330" s="2" t="n"/>
      <c r="C330" s="2" t="n"/>
      <c r="D330" s="2" t="n"/>
      <c r="E330" s="2" t="n"/>
      <c r="F330" s="2" t="n"/>
      <c r="G330" s="6" t="n"/>
      <c r="H330" s="6" t="n"/>
      <c r="I330" s="2">
        <f>IF(OR(E330="",G330="",H330=""),"",IF(E330="Short",G330-H330,H330-G330))</f>
        <v/>
      </c>
      <c r="J330" s="6">
        <f>IF(I330="","",I330*F330*Settings!$B$3)</f>
        <v/>
      </c>
      <c r="K330" s="6" t="n"/>
      <c r="L330" s="6">
        <f>IF(J330="","",J330-K330)</f>
        <v/>
      </c>
      <c r="M330" s="6">
        <f>IF(C330="","",N329)</f>
        <v/>
      </c>
      <c r="N330" s="6">
        <f>IF(L330="","",M330+L330)</f>
        <v/>
      </c>
      <c r="O330" s="6">
        <f>IF(N330="","",MAX(Settings!$B$7,N$2:N330))</f>
        <v/>
      </c>
      <c r="P330" s="6">
        <f>IF(N330="","",N330-O330)</f>
        <v/>
      </c>
      <c r="Q330" s="2">
        <f>IF(L330="","",IF(L330&gt;0,"Win",IF(L330&lt;0,"Loss","Flat")))</f>
        <v/>
      </c>
      <c r="R330" s="2" t="n"/>
    </row>
    <row r="331">
      <c r="A331" s="2">
        <f>IF(C331&lt;&gt;"",A330+1,"")</f>
        <v/>
      </c>
      <c r="B331" s="2" t="n"/>
      <c r="C331" s="2" t="n"/>
      <c r="D331" s="2" t="n"/>
      <c r="E331" s="2" t="n"/>
      <c r="F331" s="2" t="n"/>
      <c r="G331" s="6" t="n"/>
      <c r="H331" s="6" t="n"/>
      <c r="I331" s="2">
        <f>IF(OR(E331="",G331="",H331=""),"",IF(E331="Short",G331-H331,H331-G331))</f>
        <v/>
      </c>
      <c r="J331" s="6">
        <f>IF(I331="","",I331*F331*Settings!$B$3)</f>
        <v/>
      </c>
      <c r="K331" s="6" t="n"/>
      <c r="L331" s="6">
        <f>IF(J331="","",J331-K331)</f>
        <v/>
      </c>
      <c r="M331" s="6">
        <f>IF(C331="","",N330)</f>
        <v/>
      </c>
      <c r="N331" s="6">
        <f>IF(L331="","",M331+L331)</f>
        <v/>
      </c>
      <c r="O331" s="6">
        <f>IF(N331="","",MAX(Settings!$B$7,N$2:N331))</f>
        <v/>
      </c>
      <c r="P331" s="6">
        <f>IF(N331="","",N331-O331)</f>
        <v/>
      </c>
      <c r="Q331" s="2">
        <f>IF(L331="","",IF(L331&gt;0,"Win",IF(L331&lt;0,"Loss","Flat")))</f>
        <v/>
      </c>
      <c r="R331" s="2" t="n"/>
    </row>
    <row r="332">
      <c r="A332" s="2">
        <f>IF(C332&lt;&gt;"",A331+1,"")</f>
        <v/>
      </c>
      <c r="B332" s="2" t="n"/>
      <c r="C332" s="2" t="n"/>
      <c r="D332" s="2" t="n"/>
      <c r="E332" s="2" t="n"/>
      <c r="F332" s="2" t="n"/>
      <c r="G332" s="6" t="n"/>
      <c r="H332" s="6" t="n"/>
      <c r="I332" s="2">
        <f>IF(OR(E332="",G332="",H332=""),"",IF(E332="Short",G332-H332,H332-G332))</f>
        <v/>
      </c>
      <c r="J332" s="6">
        <f>IF(I332="","",I332*F332*Settings!$B$3)</f>
        <v/>
      </c>
      <c r="K332" s="6" t="n"/>
      <c r="L332" s="6">
        <f>IF(J332="","",J332-K332)</f>
        <v/>
      </c>
      <c r="M332" s="6">
        <f>IF(C332="","",N331)</f>
        <v/>
      </c>
      <c r="N332" s="6">
        <f>IF(L332="","",M332+L332)</f>
        <v/>
      </c>
      <c r="O332" s="6">
        <f>IF(N332="","",MAX(Settings!$B$7,N$2:N332))</f>
        <v/>
      </c>
      <c r="P332" s="6">
        <f>IF(N332="","",N332-O332)</f>
        <v/>
      </c>
      <c r="Q332" s="2">
        <f>IF(L332="","",IF(L332&gt;0,"Win",IF(L332&lt;0,"Loss","Flat")))</f>
        <v/>
      </c>
      <c r="R332" s="2" t="n"/>
    </row>
    <row r="333">
      <c r="A333" s="2">
        <f>IF(C333&lt;&gt;"",A332+1,"")</f>
        <v/>
      </c>
      <c r="B333" s="2" t="n"/>
      <c r="C333" s="2" t="n"/>
      <c r="D333" s="2" t="n"/>
      <c r="E333" s="2" t="n"/>
      <c r="F333" s="2" t="n"/>
      <c r="G333" s="6" t="n"/>
      <c r="H333" s="6" t="n"/>
      <c r="I333" s="2">
        <f>IF(OR(E333="",G333="",H333=""),"",IF(E333="Short",G333-H333,H333-G333))</f>
        <v/>
      </c>
      <c r="J333" s="6">
        <f>IF(I333="","",I333*F333*Settings!$B$3)</f>
        <v/>
      </c>
      <c r="K333" s="6" t="n"/>
      <c r="L333" s="6">
        <f>IF(J333="","",J333-K333)</f>
        <v/>
      </c>
      <c r="M333" s="6">
        <f>IF(C333="","",N332)</f>
        <v/>
      </c>
      <c r="N333" s="6">
        <f>IF(L333="","",M333+L333)</f>
        <v/>
      </c>
      <c r="O333" s="6">
        <f>IF(N333="","",MAX(Settings!$B$7,N$2:N333))</f>
        <v/>
      </c>
      <c r="P333" s="6">
        <f>IF(N333="","",N333-O333)</f>
        <v/>
      </c>
      <c r="Q333" s="2">
        <f>IF(L333="","",IF(L333&gt;0,"Win",IF(L333&lt;0,"Loss","Flat")))</f>
        <v/>
      </c>
      <c r="R333" s="2" t="n"/>
    </row>
    <row r="334">
      <c r="A334" s="2">
        <f>IF(C334&lt;&gt;"",A333+1,"")</f>
        <v/>
      </c>
      <c r="B334" s="2" t="n"/>
      <c r="C334" s="2" t="n"/>
      <c r="D334" s="2" t="n"/>
      <c r="E334" s="2" t="n"/>
      <c r="F334" s="2" t="n"/>
      <c r="G334" s="6" t="n"/>
      <c r="H334" s="6" t="n"/>
      <c r="I334" s="2">
        <f>IF(OR(E334="",G334="",H334=""),"",IF(E334="Short",G334-H334,H334-G334))</f>
        <v/>
      </c>
      <c r="J334" s="6">
        <f>IF(I334="","",I334*F334*Settings!$B$3)</f>
        <v/>
      </c>
      <c r="K334" s="6" t="n"/>
      <c r="L334" s="6">
        <f>IF(J334="","",J334-K334)</f>
        <v/>
      </c>
      <c r="M334" s="6">
        <f>IF(C334="","",N333)</f>
        <v/>
      </c>
      <c r="N334" s="6">
        <f>IF(L334="","",M334+L334)</f>
        <v/>
      </c>
      <c r="O334" s="6">
        <f>IF(N334="","",MAX(Settings!$B$7,N$2:N334))</f>
        <v/>
      </c>
      <c r="P334" s="6">
        <f>IF(N334="","",N334-O334)</f>
        <v/>
      </c>
      <c r="Q334" s="2">
        <f>IF(L334="","",IF(L334&gt;0,"Win",IF(L334&lt;0,"Loss","Flat")))</f>
        <v/>
      </c>
      <c r="R334" s="2" t="n"/>
    </row>
    <row r="335">
      <c r="A335" s="2">
        <f>IF(C335&lt;&gt;"",A334+1,"")</f>
        <v/>
      </c>
      <c r="B335" s="2" t="n"/>
      <c r="C335" s="2" t="n"/>
      <c r="D335" s="2" t="n"/>
      <c r="E335" s="2" t="n"/>
      <c r="F335" s="2" t="n"/>
      <c r="G335" s="6" t="n"/>
      <c r="H335" s="6" t="n"/>
      <c r="I335" s="2">
        <f>IF(OR(E335="",G335="",H335=""),"",IF(E335="Short",G335-H335,H335-G335))</f>
        <v/>
      </c>
      <c r="J335" s="6">
        <f>IF(I335="","",I335*F335*Settings!$B$3)</f>
        <v/>
      </c>
      <c r="K335" s="6" t="n"/>
      <c r="L335" s="6">
        <f>IF(J335="","",J335-K335)</f>
        <v/>
      </c>
      <c r="M335" s="6">
        <f>IF(C335="","",N334)</f>
        <v/>
      </c>
      <c r="N335" s="6">
        <f>IF(L335="","",M335+L335)</f>
        <v/>
      </c>
      <c r="O335" s="6">
        <f>IF(N335="","",MAX(Settings!$B$7,N$2:N335))</f>
        <v/>
      </c>
      <c r="P335" s="6">
        <f>IF(N335="","",N335-O335)</f>
        <v/>
      </c>
      <c r="Q335" s="2">
        <f>IF(L335="","",IF(L335&gt;0,"Win",IF(L335&lt;0,"Loss","Flat")))</f>
        <v/>
      </c>
      <c r="R335" s="2" t="n"/>
    </row>
    <row r="336">
      <c r="A336" s="2">
        <f>IF(C336&lt;&gt;"",A335+1,"")</f>
        <v/>
      </c>
      <c r="B336" s="2" t="n"/>
      <c r="C336" s="2" t="n"/>
      <c r="D336" s="2" t="n"/>
      <c r="E336" s="2" t="n"/>
      <c r="F336" s="2" t="n"/>
      <c r="G336" s="6" t="n"/>
      <c r="H336" s="6" t="n"/>
      <c r="I336" s="2">
        <f>IF(OR(E336="",G336="",H336=""),"",IF(E336="Short",G336-H336,H336-G336))</f>
        <v/>
      </c>
      <c r="J336" s="6">
        <f>IF(I336="","",I336*F336*Settings!$B$3)</f>
        <v/>
      </c>
      <c r="K336" s="6" t="n"/>
      <c r="L336" s="6">
        <f>IF(J336="","",J336-K336)</f>
        <v/>
      </c>
      <c r="M336" s="6">
        <f>IF(C336="","",N335)</f>
        <v/>
      </c>
      <c r="N336" s="6">
        <f>IF(L336="","",M336+L336)</f>
        <v/>
      </c>
      <c r="O336" s="6">
        <f>IF(N336="","",MAX(Settings!$B$7,N$2:N336))</f>
        <v/>
      </c>
      <c r="P336" s="6">
        <f>IF(N336="","",N336-O336)</f>
        <v/>
      </c>
      <c r="Q336" s="2">
        <f>IF(L336="","",IF(L336&gt;0,"Win",IF(L336&lt;0,"Loss","Flat")))</f>
        <v/>
      </c>
      <c r="R336" s="2" t="n"/>
    </row>
    <row r="337">
      <c r="A337" s="2">
        <f>IF(C337&lt;&gt;"",A336+1,"")</f>
        <v/>
      </c>
      <c r="B337" s="2" t="n"/>
      <c r="C337" s="2" t="n"/>
      <c r="D337" s="2" t="n"/>
      <c r="E337" s="2" t="n"/>
      <c r="F337" s="2" t="n"/>
      <c r="G337" s="6" t="n"/>
      <c r="H337" s="6" t="n"/>
      <c r="I337" s="2">
        <f>IF(OR(E337="",G337="",H337=""),"",IF(E337="Short",G337-H337,H337-G337))</f>
        <v/>
      </c>
      <c r="J337" s="6">
        <f>IF(I337="","",I337*F337*Settings!$B$3)</f>
        <v/>
      </c>
      <c r="K337" s="6" t="n"/>
      <c r="L337" s="6">
        <f>IF(J337="","",J337-K337)</f>
        <v/>
      </c>
      <c r="M337" s="6">
        <f>IF(C337="","",N336)</f>
        <v/>
      </c>
      <c r="N337" s="6">
        <f>IF(L337="","",M337+L337)</f>
        <v/>
      </c>
      <c r="O337" s="6">
        <f>IF(N337="","",MAX(Settings!$B$7,N$2:N337))</f>
        <v/>
      </c>
      <c r="P337" s="6">
        <f>IF(N337="","",N337-O337)</f>
        <v/>
      </c>
      <c r="Q337" s="2">
        <f>IF(L337="","",IF(L337&gt;0,"Win",IF(L337&lt;0,"Loss","Flat")))</f>
        <v/>
      </c>
      <c r="R337" s="2" t="n"/>
    </row>
    <row r="338">
      <c r="A338" s="2">
        <f>IF(C338&lt;&gt;"",A337+1,"")</f>
        <v/>
      </c>
      <c r="B338" s="2" t="n"/>
      <c r="C338" s="2" t="n"/>
      <c r="D338" s="2" t="n"/>
      <c r="E338" s="2" t="n"/>
      <c r="F338" s="2" t="n"/>
      <c r="G338" s="6" t="n"/>
      <c r="H338" s="6" t="n"/>
      <c r="I338" s="2">
        <f>IF(OR(E338="",G338="",H338=""),"",IF(E338="Short",G338-H338,H338-G338))</f>
        <v/>
      </c>
      <c r="J338" s="6">
        <f>IF(I338="","",I338*F338*Settings!$B$3)</f>
        <v/>
      </c>
      <c r="K338" s="6" t="n"/>
      <c r="L338" s="6">
        <f>IF(J338="","",J338-K338)</f>
        <v/>
      </c>
      <c r="M338" s="6">
        <f>IF(C338="","",N337)</f>
        <v/>
      </c>
      <c r="N338" s="6">
        <f>IF(L338="","",M338+L338)</f>
        <v/>
      </c>
      <c r="O338" s="6">
        <f>IF(N338="","",MAX(Settings!$B$7,N$2:N338))</f>
        <v/>
      </c>
      <c r="P338" s="6">
        <f>IF(N338="","",N338-O338)</f>
        <v/>
      </c>
      <c r="Q338" s="2">
        <f>IF(L338="","",IF(L338&gt;0,"Win",IF(L338&lt;0,"Loss","Flat")))</f>
        <v/>
      </c>
      <c r="R338" s="2" t="n"/>
    </row>
    <row r="339">
      <c r="A339" s="2">
        <f>IF(C339&lt;&gt;"",A338+1,"")</f>
        <v/>
      </c>
      <c r="B339" s="2" t="n"/>
      <c r="C339" s="2" t="n"/>
      <c r="D339" s="2" t="n"/>
      <c r="E339" s="2" t="n"/>
      <c r="F339" s="2" t="n"/>
      <c r="G339" s="6" t="n"/>
      <c r="H339" s="6" t="n"/>
      <c r="I339" s="2">
        <f>IF(OR(E339="",G339="",H339=""),"",IF(E339="Short",G339-H339,H339-G339))</f>
        <v/>
      </c>
      <c r="J339" s="6">
        <f>IF(I339="","",I339*F339*Settings!$B$3)</f>
        <v/>
      </c>
      <c r="K339" s="6" t="n"/>
      <c r="L339" s="6">
        <f>IF(J339="","",J339-K339)</f>
        <v/>
      </c>
      <c r="M339" s="6">
        <f>IF(C339="","",N338)</f>
        <v/>
      </c>
      <c r="N339" s="6">
        <f>IF(L339="","",M339+L339)</f>
        <v/>
      </c>
      <c r="O339" s="6">
        <f>IF(N339="","",MAX(Settings!$B$7,N$2:N339))</f>
        <v/>
      </c>
      <c r="P339" s="6">
        <f>IF(N339="","",N339-O339)</f>
        <v/>
      </c>
      <c r="Q339" s="2">
        <f>IF(L339="","",IF(L339&gt;0,"Win",IF(L339&lt;0,"Loss","Flat")))</f>
        <v/>
      </c>
      <c r="R339" s="2" t="n"/>
    </row>
    <row r="340">
      <c r="A340" s="2">
        <f>IF(C340&lt;&gt;"",A339+1,"")</f>
        <v/>
      </c>
      <c r="B340" s="2" t="n"/>
      <c r="C340" s="2" t="n"/>
      <c r="D340" s="2" t="n"/>
      <c r="E340" s="2" t="n"/>
      <c r="F340" s="2" t="n"/>
      <c r="G340" s="6" t="n"/>
      <c r="H340" s="6" t="n"/>
      <c r="I340" s="2">
        <f>IF(OR(E340="",G340="",H340=""),"",IF(E340="Short",G340-H340,H340-G340))</f>
        <v/>
      </c>
      <c r="J340" s="6">
        <f>IF(I340="","",I340*F340*Settings!$B$3)</f>
        <v/>
      </c>
      <c r="K340" s="6" t="n"/>
      <c r="L340" s="6">
        <f>IF(J340="","",J340-K340)</f>
        <v/>
      </c>
      <c r="M340" s="6">
        <f>IF(C340="","",N339)</f>
        <v/>
      </c>
      <c r="N340" s="6">
        <f>IF(L340="","",M340+L340)</f>
        <v/>
      </c>
      <c r="O340" s="6">
        <f>IF(N340="","",MAX(Settings!$B$7,N$2:N340))</f>
        <v/>
      </c>
      <c r="P340" s="6">
        <f>IF(N340="","",N340-O340)</f>
        <v/>
      </c>
      <c r="Q340" s="2">
        <f>IF(L340="","",IF(L340&gt;0,"Win",IF(L340&lt;0,"Loss","Flat")))</f>
        <v/>
      </c>
      <c r="R340" s="2" t="n"/>
    </row>
    <row r="341">
      <c r="A341" s="2">
        <f>IF(C341&lt;&gt;"",A340+1,"")</f>
        <v/>
      </c>
      <c r="B341" s="2" t="n"/>
      <c r="C341" s="2" t="n"/>
      <c r="D341" s="2" t="n"/>
      <c r="E341" s="2" t="n"/>
      <c r="F341" s="2" t="n"/>
      <c r="G341" s="6" t="n"/>
      <c r="H341" s="6" t="n"/>
      <c r="I341" s="2">
        <f>IF(OR(E341="",G341="",H341=""),"",IF(E341="Short",G341-H341,H341-G341))</f>
        <v/>
      </c>
      <c r="J341" s="6">
        <f>IF(I341="","",I341*F341*Settings!$B$3)</f>
        <v/>
      </c>
      <c r="K341" s="6" t="n"/>
      <c r="L341" s="6">
        <f>IF(J341="","",J341-K341)</f>
        <v/>
      </c>
      <c r="M341" s="6">
        <f>IF(C341="","",N340)</f>
        <v/>
      </c>
      <c r="N341" s="6">
        <f>IF(L341="","",M341+L341)</f>
        <v/>
      </c>
      <c r="O341" s="6">
        <f>IF(N341="","",MAX(Settings!$B$7,N$2:N341))</f>
        <v/>
      </c>
      <c r="P341" s="6">
        <f>IF(N341="","",N341-O341)</f>
        <v/>
      </c>
      <c r="Q341" s="2">
        <f>IF(L341="","",IF(L341&gt;0,"Win",IF(L341&lt;0,"Loss","Flat")))</f>
        <v/>
      </c>
      <c r="R341" s="2" t="n"/>
    </row>
    <row r="342">
      <c r="A342" s="2">
        <f>IF(C342&lt;&gt;"",A341+1,"")</f>
        <v/>
      </c>
      <c r="B342" s="2" t="n"/>
      <c r="C342" s="2" t="n"/>
      <c r="D342" s="2" t="n"/>
      <c r="E342" s="2" t="n"/>
      <c r="F342" s="2" t="n"/>
      <c r="G342" s="6" t="n"/>
      <c r="H342" s="6" t="n"/>
      <c r="I342" s="2">
        <f>IF(OR(E342="",G342="",H342=""),"",IF(E342="Short",G342-H342,H342-G342))</f>
        <v/>
      </c>
      <c r="J342" s="6">
        <f>IF(I342="","",I342*F342*Settings!$B$3)</f>
        <v/>
      </c>
      <c r="K342" s="6" t="n"/>
      <c r="L342" s="6">
        <f>IF(J342="","",J342-K342)</f>
        <v/>
      </c>
      <c r="M342" s="6">
        <f>IF(C342="","",N341)</f>
        <v/>
      </c>
      <c r="N342" s="6">
        <f>IF(L342="","",M342+L342)</f>
        <v/>
      </c>
      <c r="O342" s="6">
        <f>IF(N342="","",MAX(Settings!$B$7,N$2:N342))</f>
        <v/>
      </c>
      <c r="P342" s="6">
        <f>IF(N342="","",N342-O342)</f>
        <v/>
      </c>
      <c r="Q342" s="2">
        <f>IF(L342="","",IF(L342&gt;0,"Win",IF(L342&lt;0,"Loss","Flat")))</f>
        <v/>
      </c>
      <c r="R342" s="2" t="n"/>
    </row>
    <row r="343">
      <c r="A343" s="2">
        <f>IF(C343&lt;&gt;"",A342+1,"")</f>
        <v/>
      </c>
      <c r="B343" s="2" t="n"/>
      <c r="C343" s="2" t="n"/>
      <c r="D343" s="2" t="n"/>
      <c r="E343" s="2" t="n"/>
      <c r="F343" s="2" t="n"/>
      <c r="G343" s="6" t="n"/>
      <c r="H343" s="6" t="n"/>
      <c r="I343" s="2">
        <f>IF(OR(E343="",G343="",H343=""),"",IF(E343="Short",G343-H343,H343-G343))</f>
        <v/>
      </c>
      <c r="J343" s="6">
        <f>IF(I343="","",I343*F343*Settings!$B$3)</f>
        <v/>
      </c>
      <c r="K343" s="6" t="n"/>
      <c r="L343" s="6">
        <f>IF(J343="","",J343-K343)</f>
        <v/>
      </c>
      <c r="M343" s="6">
        <f>IF(C343="","",N342)</f>
        <v/>
      </c>
      <c r="N343" s="6">
        <f>IF(L343="","",M343+L343)</f>
        <v/>
      </c>
      <c r="O343" s="6">
        <f>IF(N343="","",MAX(Settings!$B$7,N$2:N343))</f>
        <v/>
      </c>
      <c r="P343" s="6">
        <f>IF(N343="","",N343-O343)</f>
        <v/>
      </c>
      <c r="Q343" s="2">
        <f>IF(L343="","",IF(L343&gt;0,"Win",IF(L343&lt;0,"Loss","Flat")))</f>
        <v/>
      </c>
      <c r="R343" s="2" t="n"/>
    </row>
    <row r="344">
      <c r="A344" s="2">
        <f>IF(C344&lt;&gt;"",A343+1,"")</f>
        <v/>
      </c>
      <c r="B344" s="2" t="n"/>
      <c r="C344" s="2" t="n"/>
      <c r="D344" s="2" t="n"/>
      <c r="E344" s="2" t="n"/>
      <c r="F344" s="2" t="n"/>
      <c r="G344" s="6" t="n"/>
      <c r="H344" s="6" t="n"/>
      <c r="I344" s="2">
        <f>IF(OR(E344="",G344="",H344=""),"",IF(E344="Short",G344-H344,H344-G344))</f>
        <v/>
      </c>
      <c r="J344" s="6">
        <f>IF(I344="","",I344*F344*Settings!$B$3)</f>
        <v/>
      </c>
      <c r="K344" s="6" t="n"/>
      <c r="L344" s="6">
        <f>IF(J344="","",J344-K344)</f>
        <v/>
      </c>
      <c r="M344" s="6">
        <f>IF(C344="","",N343)</f>
        <v/>
      </c>
      <c r="N344" s="6">
        <f>IF(L344="","",M344+L344)</f>
        <v/>
      </c>
      <c r="O344" s="6">
        <f>IF(N344="","",MAX(Settings!$B$7,N$2:N344))</f>
        <v/>
      </c>
      <c r="P344" s="6">
        <f>IF(N344="","",N344-O344)</f>
        <v/>
      </c>
      <c r="Q344" s="2">
        <f>IF(L344="","",IF(L344&gt;0,"Win",IF(L344&lt;0,"Loss","Flat")))</f>
        <v/>
      </c>
      <c r="R344" s="2" t="n"/>
    </row>
    <row r="345">
      <c r="A345" s="2">
        <f>IF(C345&lt;&gt;"",A344+1,"")</f>
        <v/>
      </c>
      <c r="B345" s="2" t="n"/>
      <c r="C345" s="2" t="n"/>
      <c r="D345" s="2" t="n"/>
      <c r="E345" s="2" t="n"/>
      <c r="F345" s="2" t="n"/>
      <c r="G345" s="6" t="n"/>
      <c r="H345" s="6" t="n"/>
      <c r="I345" s="2">
        <f>IF(OR(E345="",G345="",H345=""),"",IF(E345="Short",G345-H345,H345-G345))</f>
        <v/>
      </c>
      <c r="J345" s="6">
        <f>IF(I345="","",I345*F345*Settings!$B$3)</f>
        <v/>
      </c>
      <c r="K345" s="6" t="n"/>
      <c r="L345" s="6">
        <f>IF(J345="","",J345-K345)</f>
        <v/>
      </c>
      <c r="M345" s="6">
        <f>IF(C345="","",N344)</f>
        <v/>
      </c>
      <c r="N345" s="6">
        <f>IF(L345="","",M345+L345)</f>
        <v/>
      </c>
      <c r="O345" s="6">
        <f>IF(N345="","",MAX(Settings!$B$7,N$2:N345))</f>
        <v/>
      </c>
      <c r="P345" s="6">
        <f>IF(N345="","",N345-O345)</f>
        <v/>
      </c>
      <c r="Q345" s="2">
        <f>IF(L345="","",IF(L345&gt;0,"Win",IF(L345&lt;0,"Loss","Flat")))</f>
        <v/>
      </c>
      <c r="R345" s="2" t="n"/>
    </row>
    <row r="346">
      <c r="A346" s="2">
        <f>IF(C346&lt;&gt;"",A345+1,"")</f>
        <v/>
      </c>
      <c r="B346" s="2" t="n"/>
      <c r="C346" s="2" t="n"/>
      <c r="D346" s="2" t="n"/>
      <c r="E346" s="2" t="n"/>
      <c r="F346" s="2" t="n"/>
      <c r="G346" s="6" t="n"/>
      <c r="H346" s="6" t="n"/>
      <c r="I346" s="2">
        <f>IF(OR(E346="",G346="",H346=""),"",IF(E346="Short",G346-H346,H346-G346))</f>
        <v/>
      </c>
      <c r="J346" s="6">
        <f>IF(I346="","",I346*F346*Settings!$B$3)</f>
        <v/>
      </c>
      <c r="K346" s="6" t="n"/>
      <c r="L346" s="6">
        <f>IF(J346="","",J346-K346)</f>
        <v/>
      </c>
      <c r="M346" s="6">
        <f>IF(C346="","",N345)</f>
        <v/>
      </c>
      <c r="N346" s="6">
        <f>IF(L346="","",M346+L346)</f>
        <v/>
      </c>
      <c r="O346" s="6">
        <f>IF(N346="","",MAX(Settings!$B$7,N$2:N346))</f>
        <v/>
      </c>
      <c r="P346" s="6">
        <f>IF(N346="","",N346-O346)</f>
        <v/>
      </c>
      <c r="Q346" s="2">
        <f>IF(L346="","",IF(L346&gt;0,"Win",IF(L346&lt;0,"Loss","Flat")))</f>
        <v/>
      </c>
      <c r="R346" s="2" t="n"/>
    </row>
    <row r="347">
      <c r="A347" s="2">
        <f>IF(C347&lt;&gt;"",A346+1,"")</f>
        <v/>
      </c>
      <c r="B347" s="2" t="n"/>
      <c r="C347" s="2" t="n"/>
      <c r="D347" s="2" t="n"/>
      <c r="E347" s="2" t="n"/>
      <c r="F347" s="2" t="n"/>
      <c r="G347" s="6" t="n"/>
      <c r="H347" s="6" t="n"/>
      <c r="I347" s="2">
        <f>IF(OR(E347="",G347="",H347=""),"",IF(E347="Short",G347-H347,H347-G347))</f>
        <v/>
      </c>
      <c r="J347" s="6">
        <f>IF(I347="","",I347*F347*Settings!$B$3)</f>
        <v/>
      </c>
      <c r="K347" s="6" t="n"/>
      <c r="L347" s="6">
        <f>IF(J347="","",J347-K347)</f>
        <v/>
      </c>
      <c r="M347" s="6">
        <f>IF(C347="","",N346)</f>
        <v/>
      </c>
      <c r="N347" s="6">
        <f>IF(L347="","",M347+L347)</f>
        <v/>
      </c>
      <c r="O347" s="6">
        <f>IF(N347="","",MAX(Settings!$B$7,N$2:N347))</f>
        <v/>
      </c>
      <c r="P347" s="6">
        <f>IF(N347="","",N347-O347)</f>
        <v/>
      </c>
      <c r="Q347" s="2">
        <f>IF(L347="","",IF(L347&gt;0,"Win",IF(L347&lt;0,"Loss","Flat")))</f>
        <v/>
      </c>
      <c r="R347" s="2" t="n"/>
    </row>
    <row r="348">
      <c r="A348" s="2">
        <f>IF(C348&lt;&gt;"",A347+1,"")</f>
        <v/>
      </c>
      <c r="B348" s="2" t="n"/>
      <c r="C348" s="2" t="n"/>
      <c r="D348" s="2" t="n"/>
      <c r="E348" s="2" t="n"/>
      <c r="F348" s="2" t="n"/>
      <c r="G348" s="6" t="n"/>
      <c r="H348" s="6" t="n"/>
      <c r="I348" s="2">
        <f>IF(OR(E348="",G348="",H348=""),"",IF(E348="Short",G348-H348,H348-G348))</f>
        <v/>
      </c>
      <c r="J348" s="6">
        <f>IF(I348="","",I348*F348*Settings!$B$3)</f>
        <v/>
      </c>
      <c r="K348" s="6" t="n"/>
      <c r="L348" s="6">
        <f>IF(J348="","",J348-K348)</f>
        <v/>
      </c>
      <c r="M348" s="6">
        <f>IF(C348="","",N347)</f>
        <v/>
      </c>
      <c r="N348" s="6">
        <f>IF(L348="","",M348+L348)</f>
        <v/>
      </c>
      <c r="O348" s="6">
        <f>IF(N348="","",MAX(Settings!$B$7,N$2:N348))</f>
        <v/>
      </c>
      <c r="P348" s="6">
        <f>IF(N348="","",N348-O348)</f>
        <v/>
      </c>
      <c r="Q348" s="2">
        <f>IF(L348="","",IF(L348&gt;0,"Win",IF(L348&lt;0,"Loss","Flat")))</f>
        <v/>
      </c>
      <c r="R348" s="2" t="n"/>
    </row>
    <row r="349">
      <c r="A349" s="2">
        <f>IF(C349&lt;&gt;"",A348+1,"")</f>
        <v/>
      </c>
      <c r="B349" s="2" t="n"/>
      <c r="C349" s="2" t="n"/>
      <c r="D349" s="2" t="n"/>
      <c r="E349" s="2" t="n"/>
      <c r="F349" s="2" t="n"/>
      <c r="G349" s="6" t="n"/>
      <c r="H349" s="6" t="n"/>
      <c r="I349" s="2">
        <f>IF(OR(E349="",G349="",H349=""),"",IF(E349="Short",G349-H349,H349-G349))</f>
        <v/>
      </c>
      <c r="J349" s="6">
        <f>IF(I349="","",I349*F349*Settings!$B$3)</f>
        <v/>
      </c>
      <c r="K349" s="6" t="n"/>
      <c r="L349" s="6">
        <f>IF(J349="","",J349-K349)</f>
        <v/>
      </c>
      <c r="M349" s="6">
        <f>IF(C349="","",N348)</f>
        <v/>
      </c>
      <c r="N349" s="6">
        <f>IF(L349="","",M349+L349)</f>
        <v/>
      </c>
      <c r="O349" s="6">
        <f>IF(N349="","",MAX(Settings!$B$7,N$2:N349))</f>
        <v/>
      </c>
      <c r="P349" s="6">
        <f>IF(N349="","",N349-O349)</f>
        <v/>
      </c>
      <c r="Q349" s="2">
        <f>IF(L349="","",IF(L349&gt;0,"Win",IF(L349&lt;0,"Loss","Flat")))</f>
        <v/>
      </c>
      <c r="R349" s="2" t="n"/>
    </row>
    <row r="350">
      <c r="A350" s="2">
        <f>IF(C350&lt;&gt;"",A349+1,"")</f>
        <v/>
      </c>
      <c r="B350" s="2" t="n"/>
      <c r="C350" s="2" t="n"/>
      <c r="D350" s="2" t="n"/>
      <c r="E350" s="2" t="n"/>
      <c r="F350" s="2" t="n"/>
      <c r="G350" s="6" t="n"/>
      <c r="H350" s="6" t="n"/>
      <c r="I350" s="2">
        <f>IF(OR(E350="",G350="",H350=""),"",IF(E350="Short",G350-H350,H350-G350))</f>
        <v/>
      </c>
      <c r="J350" s="6">
        <f>IF(I350="","",I350*F350*Settings!$B$3)</f>
        <v/>
      </c>
      <c r="K350" s="6" t="n"/>
      <c r="L350" s="6">
        <f>IF(J350="","",J350-K350)</f>
        <v/>
      </c>
      <c r="M350" s="6">
        <f>IF(C350="","",N349)</f>
        <v/>
      </c>
      <c r="N350" s="6">
        <f>IF(L350="","",M350+L350)</f>
        <v/>
      </c>
      <c r="O350" s="6">
        <f>IF(N350="","",MAX(Settings!$B$7,N$2:N350))</f>
        <v/>
      </c>
      <c r="P350" s="6">
        <f>IF(N350="","",N350-O350)</f>
        <v/>
      </c>
      <c r="Q350" s="2">
        <f>IF(L350="","",IF(L350&gt;0,"Win",IF(L350&lt;0,"Loss","Flat")))</f>
        <v/>
      </c>
      <c r="R350" s="2" t="n"/>
    </row>
    <row r="351">
      <c r="A351" s="2">
        <f>IF(C351&lt;&gt;"",A350+1,"")</f>
        <v/>
      </c>
      <c r="B351" s="2" t="n"/>
      <c r="C351" s="2" t="n"/>
      <c r="D351" s="2" t="n"/>
      <c r="E351" s="2" t="n"/>
      <c r="F351" s="2" t="n"/>
      <c r="G351" s="6" t="n"/>
      <c r="H351" s="6" t="n"/>
      <c r="I351" s="2">
        <f>IF(OR(E351="",G351="",H351=""),"",IF(E351="Short",G351-H351,H351-G351))</f>
        <v/>
      </c>
      <c r="J351" s="6">
        <f>IF(I351="","",I351*F351*Settings!$B$3)</f>
        <v/>
      </c>
      <c r="K351" s="6" t="n"/>
      <c r="L351" s="6">
        <f>IF(J351="","",J351-K351)</f>
        <v/>
      </c>
      <c r="M351" s="6">
        <f>IF(C351="","",N350)</f>
        <v/>
      </c>
      <c r="N351" s="6">
        <f>IF(L351="","",M351+L351)</f>
        <v/>
      </c>
      <c r="O351" s="6">
        <f>IF(N351="","",MAX(Settings!$B$7,N$2:N351))</f>
        <v/>
      </c>
      <c r="P351" s="6">
        <f>IF(N351="","",N351-O351)</f>
        <v/>
      </c>
      <c r="Q351" s="2">
        <f>IF(L351="","",IF(L351&gt;0,"Win",IF(L351&lt;0,"Loss","Flat")))</f>
        <v/>
      </c>
      <c r="R351" s="2" t="n"/>
    </row>
    <row r="352">
      <c r="A352" s="2">
        <f>IF(C352&lt;&gt;"",A351+1,"")</f>
        <v/>
      </c>
      <c r="B352" s="2" t="n"/>
      <c r="C352" s="2" t="n"/>
      <c r="D352" s="2" t="n"/>
      <c r="E352" s="2" t="n"/>
      <c r="F352" s="2" t="n"/>
      <c r="G352" s="6" t="n"/>
      <c r="H352" s="6" t="n"/>
      <c r="I352" s="2">
        <f>IF(OR(E352="",G352="",H352=""),"",IF(E352="Short",G352-H352,H352-G352))</f>
        <v/>
      </c>
      <c r="J352" s="6">
        <f>IF(I352="","",I352*F352*Settings!$B$3)</f>
        <v/>
      </c>
      <c r="K352" s="6" t="n"/>
      <c r="L352" s="6">
        <f>IF(J352="","",J352-K352)</f>
        <v/>
      </c>
      <c r="M352" s="6">
        <f>IF(C352="","",N351)</f>
        <v/>
      </c>
      <c r="N352" s="6">
        <f>IF(L352="","",M352+L352)</f>
        <v/>
      </c>
      <c r="O352" s="6">
        <f>IF(N352="","",MAX(Settings!$B$7,N$2:N352))</f>
        <v/>
      </c>
      <c r="P352" s="6">
        <f>IF(N352="","",N352-O352)</f>
        <v/>
      </c>
      <c r="Q352" s="2">
        <f>IF(L352="","",IF(L352&gt;0,"Win",IF(L352&lt;0,"Loss","Flat")))</f>
        <v/>
      </c>
      <c r="R352" s="2" t="n"/>
    </row>
    <row r="353">
      <c r="A353" s="2">
        <f>IF(C353&lt;&gt;"",A352+1,"")</f>
        <v/>
      </c>
      <c r="B353" s="2" t="n"/>
      <c r="C353" s="2" t="n"/>
      <c r="D353" s="2" t="n"/>
      <c r="E353" s="2" t="n"/>
      <c r="F353" s="2" t="n"/>
      <c r="G353" s="6" t="n"/>
      <c r="H353" s="6" t="n"/>
      <c r="I353" s="2">
        <f>IF(OR(E353="",G353="",H353=""),"",IF(E353="Short",G353-H353,H353-G353))</f>
        <v/>
      </c>
      <c r="J353" s="6">
        <f>IF(I353="","",I353*F353*Settings!$B$3)</f>
        <v/>
      </c>
      <c r="K353" s="6" t="n"/>
      <c r="L353" s="6">
        <f>IF(J353="","",J353-K353)</f>
        <v/>
      </c>
      <c r="M353" s="6">
        <f>IF(C353="","",N352)</f>
        <v/>
      </c>
      <c r="N353" s="6">
        <f>IF(L353="","",M353+L353)</f>
        <v/>
      </c>
      <c r="O353" s="6">
        <f>IF(N353="","",MAX(Settings!$B$7,N$2:N353))</f>
        <v/>
      </c>
      <c r="P353" s="6">
        <f>IF(N353="","",N353-O353)</f>
        <v/>
      </c>
      <c r="Q353" s="2">
        <f>IF(L353="","",IF(L353&gt;0,"Win",IF(L353&lt;0,"Loss","Flat")))</f>
        <v/>
      </c>
      <c r="R353" s="2" t="n"/>
    </row>
    <row r="354">
      <c r="A354" s="2">
        <f>IF(C354&lt;&gt;"",A353+1,"")</f>
        <v/>
      </c>
      <c r="B354" s="2" t="n"/>
      <c r="C354" s="2" t="n"/>
      <c r="D354" s="2" t="n"/>
      <c r="E354" s="2" t="n"/>
      <c r="F354" s="2" t="n"/>
      <c r="G354" s="6" t="n"/>
      <c r="H354" s="6" t="n"/>
      <c r="I354" s="2">
        <f>IF(OR(E354="",G354="",H354=""),"",IF(E354="Short",G354-H354,H354-G354))</f>
        <v/>
      </c>
      <c r="J354" s="6">
        <f>IF(I354="","",I354*F354*Settings!$B$3)</f>
        <v/>
      </c>
      <c r="K354" s="6" t="n"/>
      <c r="L354" s="6">
        <f>IF(J354="","",J354-K354)</f>
        <v/>
      </c>
      <c r="M354" s="6">
        <f>IF(C354="","",N353)</f>
        <v/>
      </c>
      <c r="N354" s="6">
        <f>IF(L354="","",M354+L354)</f>
        <v/>
      </c>
      <c r="O354" s="6">
        <f>IF(N354="","",MAX(Settings!$B$7,N$2:N354))</f>
        <v/>
      </c>
      <c r="P354" s="6">
        <f>IF(N354="","",N354-O354)</f>
        <v/>
      </c>
      <c r="Q354" s="2">
        <f>IF(L354="","",IF(L354&gt;0,"Win",IF(L354&lt;0,"Loss","Flat")))</f>
        <v/>
      </c>
      <c r="R354" s="2" t="n"/>
    </row>
    <row r="355">
      <c r="A355" s="2">
        <f>IF(C355&lt;&gt;"",A354+1,"")</f>
        <v/>
      </c>
      <c r="B355" s="2" t="n"/>
      <c r="C355" s="2" t="n"/>
      <c r="D355" s="2" t="n"/>
      <c r="E355" s="2" t="n"/>
      <c r="F355" s="2" t="n"/>
      <c r="G355" s="6" t="n"/>
      <c r="H355" s="6" t="n"/>
      <c r="I355" s="2">
        <f>IF(OR(E355="",G355="",H355=""),"",IF(E355="Short",G355-H355,H355-G355))</f>
        <v/>
      </c>
      <c r="J355" s="6">
        <f>IF(I355="","",I355*F355*Settings!$B$3)</f>
        <v/>
      </c>
      <c r="K355" s="6" t="n"/>
      <c r="L355" s="6">
        <f>IF(J355="","",J355-K355)</f>
        <v/>
      </c>
      <c r="M355" s="6">
        <f>IF(C355="","",N354)</f>
        <v/>
      </c>
      <c r="N355" s="6">
        <f>IF(L355="","",M355+L355)</f>
        <v/>
      </c>
      <c r="O355" s="6">
        <f>IF(N355="","",MAX(Settings!$B$7,N$2:N355))</f>
        <v/>
      </c>
      <c r="P355" s="6">
        <f>IF(N355="","",N355-O355)</f>
        <v/>
      </c>
      <c r="Q355" s="2">
        <f>IF(L355="","",IF(L355&gt;0,"Win",IF(L355&lt;0,"Loss","Flat")))</f>
        <v/>
      </c>
      <c r="R355" s="2" t="n"/>
    </row>
    <row r="356">
      <c r="A356" s="2">
        <f>IF(C356&lt;&gt;"",A355+1,"")</f>
        <v/>
      </c>
      <c r="B356" s="2" t="n"/>
      <c r="C356" s="2" t="n"/>
      <c r="D356" s="2" t="n"/>
      <c r="E356" s="2" t="n"/>
      <c r="F356" s="2" t="n"/>
      <c r="G356" s="6" t="n"/>
      <c r="H356" s="6" t="n"/>
      <c r="I356" s="2">
        <f>IF(OR(E356="",G356="",H356=""),"",IF(E356="Short",G356-H356,H356-G356))</f>
        <v/>
      </c>
      <c r="J356" s="6">
        <f>IF(I356="","",I356*F356*Settings!$B$3)</f>
        <v/>
      </c>
      <c r="K356" s="6" t="n"/>
      <c r="L356" s="6">
        <f>IF(J356="","",J356-K356)</f>
        <v/>
      </c>
      <c r="M356" s="6">
        <f>IF(C356="","",N355)</f>
        <v/>
      </c>
      <c r="N356" s="6">
        <f>IF(L356="","",M356+L356)</f>
        <v/>
      </c>
      <c r="O356" s="6">
        <f>IF(N356="","",MAX(Settings!$B$7,N$2:N356))</f>
        <v/>
      </c>
      <c r="P356" s="6">
        <f>IF(N356="","",N356-O356)</f>
        <v/>
      </c>
      <c r="Q356" s="2">
        <f>IF(L356="","",IF(L356&gt;0,"Win",IF(L356&lt;0,"Loss","Flat")))</f>
        <v/>
      </c>
      <c r="R356" s="2" t="n"/>
    </row>
    <row r="357">
      <c r="A357" s="2">
        <f>IF(C357&lt;&gt;"",A356+1,"")</f>
        <v/>
      </c>
      <c r="B357" s="2" t="n"/>
      <c r="C357" s="2" t="n"/>
      <c r="D357" s="2" t="n"/>
      <c r="E357" s="2" t="n"/>
      <c r="F357" s="2" t="n"/>
      <c r="G357" s="6" t="n"/>
      <c r="H357" s="6" t="n"/>
      <c r="I357" s="2">
        <f>IF(OR(E357="",G357="",H357=""),"",IF(E357="Short",G357-H357,H357-G357))</f>
        <v/>
      </c>
      <c r="J357" s="6">
        <f>IF(I357="","",I357*F357*Settings!$B$3)</f>
        <v/>
      </c>
      <c r="K357" s="6" t="n"/>
      <c r="L357" s="6">
        <f>IF(J357="","",J357-K357)</f>
        <v/>
      </c>
      <c r="M357" s="6">
        <f>IF(C357="","",N356)</f>
        <v/>
      </c>
      <c r="N357" s="6">
        <f>IF(L357="","",M357+L357)</f>
        <v/>
      </c>
      <c r="O357" s="6">
        <f>IF(N357="","",MAX(Settings!$B$7,N$2:N357))</f>
        <v/>
      </c>
      <c r="P357" s="6">
        <f>IF(N357="","",N357-O357)</f>
        <v/>
      </c>
      <c r="Q357" s="2">
        <f>IF(L357="","",IF(L357&gt;0,"Win",IF(L357&lt;0,"Loss","Flat")))</f>
        <v/>
      </c>
      <c r="R357" s="2" t="n"/>
    </row>
    <row r="358">
      <c r="A358" s="2">
        <f>IF(C358&lt;&gt;"",A357+1,"")</f>
        <v/>
      </c>
      <c r="B358" s="2" t="n"/>
      <c r="C358" s="2" t="n"/>
      <c r="D358" s="2" t="n"/>
      <c r="E358" s="2" t="n"/>
      <c r="F358" s="2" t="n"/>
      <c r="G358" s="6" t="n"/>
      <c r="H358" s="6" t="n"/>
      <c r="I358" s="2">
        <f>IF(OR(E358="",G358="",H358=""),"",IF(E358="Short",G358-H358,H358-G358))</f>
        <v/>
      </c>
      <c r="J358" s="6">
        <f>IF(I358="","",I358*F358*Settings!$B$3)</f>
        <v/>
      </c>
      <c r="K358" s="6" t="n"/>
      <c r="L358" s="6">
        <f>IF(J358="","",J358-K358)</f>
        <v/>
      </c>
      <c r="M358" s="6">
        <f>IF(C358="","",N357)</f>
        <v/>
      </c>
      <c r="N358" s="6">
        <f>IF(L358="","",M358+L358)</f>
        <v/>
      </c>
      <c r="O358" s="6">
        <f>IF(N358="","",MAX(Settings!$B$7,N$2:N358))</f>
        <v/>
      </c>
      <c r="P358" s="6">
        <f>IF(N358="","",N358-O358)</f>
        <v/>
      </c>
      <c r="Q358" s="2">
        <f>IF(L358="","",IF(L358&gt;0,"Win",IF(L358&lt;0,"Loss","Flat")))</f>
        <v/>
      </c>
      <c r="R358" s="2" t="n"/>
    </row>
    <row r="359">
      <c r="A359" s="2">
        <f>IF(C359&lt;&gt;"",A358+1,"")</f>
        <v/>
      </c>
      <c r="B359" s="2" t="n"/>
      <c r="C359" s="2" t="n"/>
      <c r="D359" s="2" t="n"/>
      <c r="E359" s="2" t="n"/>
      <c r="F359" s="2" t="n"/>
      <c r="G359" s="6" t="n"/>
      <c r="H359" s="6" t="n"/>
      <c r="I359" s="2">
        <f>IF(OR(E359="",G359="",H359=""),"",IF(E359="Short",G359-H359,H359-G359))</f>
        <v/>
      </c>
      <c r="J359" s="6">
        <f>IF(I359="","",I359*F359*Settings!$B$3)</f>
        <v/>
      </c>
      <c r="K359" s="6" t="n"/>
      <c r="L359" s="6">
        <f>IF(J359="","",J359-K359)</f>
        <v/>
      </c>
      <c r="M359" s="6">
        <f>IF(C359="","",N358)</f>
        <v/>
      </c>
      <c r="N359" s="6">
        <f>IF(L359="","",M359+L359)</f>
        <v/>
      </c>
      <c r="O359" s="6">
        <f>IF(N359="","",MAX(Settings!$B$7,N$2:N359))</f>
        <v/>
      </c>
      <c r="P359" s="6">
        <f>IF(N359="","",N359-O359)</f>
        <v/>
      </c>
      <c r="Q359" s="2">
        <f>IF(L359="","",IF(L359&gt;0,"Win",IF(L359&lt;0,"Loss","Flat")))</f>
        <v/>
      </c>
      <c r="R359" s="2" t="n"/>
    </row>
    <row r="360">
      <c r="A360" s="2">
        <f>IF(C360&lt;&gt;"",A359+1,"")</f>
        <v/>
      </c>
      <c r="B360" s="2" t="n"/>
      <c r="C360" s="2" t="n"/>
      <c r="D360" s="2" t="n"/>
      <c r="E360" s="2" t="n"/>
      <c r="F360" s="2" t="n"/>
      <c r="G360" s="6" t="n"/>
      <c r="H360" s="6" t="n"/>
      <c r="I360" s="2">
        <f>IF(OR(E360="",G360="",H360=""),"",IF(E360="Short",G360-H360,H360-G360))</f>
        <v/>
      </c>
      <c r="J360" s="6">
        <f>IF(I360="","",I360*F360*Settings!$B$3)</f>
        <v/>
      </c>
      <c r="K360" s="6" t="n"/>
      <c r="L360" s="6">
        <f>IF(J360="","",J360-K360)</f>
        <v/>
      </c>
      <c r="M360" s="6">
        <f>IF(C360="","",N359)</f>
        <v/>
      </c>
      <c r="N360" s="6">
        <f>IF(L360="","",M360+L360)</f>
        <v/>
      </c>
      <c r="O360" s="6">
        <f>IF(N360="","",MAX(Settings!$B$7,N$2:N360))</f>
        <v/>
      </c>
      <c r="P360" s="6">
        <f>IF(N360="","",N360-O360)</f>
        <v/>
      </c>
      <c r="Q360" s="2">
        <f>IF(L360="","",IF(L360&gt;0,"Win",IF(L360&lt;0,"Loss","Flat")))</f>
        <v/>
      </c>
      <c r="R360" s="2" t="n"/>
    </row>
    <row r="361">
      <c r="A361" s="2">
        <f>IF(C361&lt;&gt;"",A360+1,"")</f>
        <v/>
      </c>
      <c r="B361" s="2" t="n"/>
      <c r="C361" s="2" t="n"/>
      <c r="D361" s="2" t="n"/>
      <c r="E361" s="2" t="n"/>
      <c r="F361" s="2" t="n"/>
      <c r="G361" s="6" t="n"/>
      <c r="H361" s="6" t="n"/>
      <c r="I361" s="2">
        <f>IF(OR(E361="",G361="",H361=""),"",IF(E361="Short",G361-H361,H361-G361))</f>
        <v/>
      </c>
      <c r="J361" s="6">
        <f>IF(I361="","",I361*F361*Settings!$B$3)</f>
        <v/>
      </c>
      <c r="K361" s="6" t="n"/>
      <c r="L361" s="6">
        <f>IF(J361="","",J361-K361)</f>
        <v/>
      </c>
      <c r="M361" s="6">
        <f>IF(C361="","",N360)</f>
        <v/>
      </c>
      <c r="N361" s="6">
        <f>IF(L361="","",M361+L361)</f>
        <v/>
      </c>
      <c r="O361" s="6">
        <f>IF(N361="","",MAX(Settings!$B$7,N$2:N361))</f>
        <v/>
      </c>
      <c r="P361" s="6">
        <f>IF(N361="","",N361-O361)</f>
        <v/>
      </c>
      <c r="Q361" s="2">
        <f>IF(L361="","",IF(L361&gt;0,"Win",IF(L361&lt;0,"Loss","Flat")))</f>
        <v/>
      </c>
      <c r="R361" s="2" t="n"/>
    </row>
    <row r="362">
      <c r="A362" s="2">
        <f>IF(C362&lt;&gt;"",A361+1,"")</f>
        <v/>
      </c>
      <c r="B362" s="2" t="n"/>
      <c r="C362" s="2" t="n"/>
      <c r="D362" s="2" t="n"/>
      <c r="E362" s="2" t="n"/>
      <c r="F362" s="2" t="n"/>
      <c r="G362" s="6" t="n"/>
      <c r="H362" s="6" t="n"/>
      <c r="I362" s="2">
        <f>IF(OR(E362="",G362="",H362=""),"",IF(E362="Short",G362-H362,H362-G362))</f>
        <v/>
      </c>
      <c r="J362" s="6">
        <f>IF(I362="","",I362*F362*Settings!$B$3)</f>
        <v/>
      </c>
      <c r="K362" s="6" t="n"/>
      <c r="L362" s="6">
        <f>IF(J362="","",J362-K362)</f>
        <v/>
      </c>
      <c r="M362" s="6">
        <f>IF(C362="","",N361)</f>
        <v/>
      </c>
      <c r="N362" s="6">
        <f>IF(L362="","",M362+L362)</f>
        <v/>
      </c>
      <c r="O362" s="6">
        <f>IF(N362="","",MAX(Settings!$B$7,N$2:N362))</f>
        <v/>
      </c>
      <c r="P362" s="6">
        <f>IF(N362="","",N362-O362)</f>
        <v/>
      </c>
      <c r="Q362" s="2">
        <f>IF(L362="","",IF(L362&gt;0,"Win",IF(L362&lt;0,"Loss","Flat")))</f>
        <v/>
      </c>
      <c r="R362" s="2" t="n"/>
    </row>
    <row r="363">
      <c r="A363" s="2">
        <f>IF(C363&lt;&gt;"",A362+1,"")</f>
        <v/>
      </c>
      <c r="B363" s="2" t="n"/>
      <c r="C363" s="2" t="n"/>
      <c r="D363" s="2" t="n"/>
      <c r="E363" s="2" t="n"/>
      <c r="F363" s="2" t="n"/>
      <c r="G363" s="6" t="n"/>
      <c r="H363" s="6" t="n"/>
      <c r="I363" s="2">
        <f>IF(OR(E363="",G363="",H363=""),"",IF(E363="Short",G363-H363,H363-G363))</f>
        <v/>
      </c>
      <c r="J363" s="6">
        <f>IF(I363="","",I363*F363*Settings!$B$3)</f>
        <v/>
      </c>
      <c r="K363" s="6" t="n"/>
      <c r="L363" s="6">
        <f>IF(J363="","",J363-K363)</f>
        <v/>
      </c>
      <c r="M363" s="6">
        <f>IF(C363="","",N362)</f>
        <v/>
      </c>
      <c r="N363" s="6">
        <f>IF(L363="","",M363+L363)</f>
        <v/>
      </c>
      <c r="O363" s="6">
        <f>IF(N363="","",MAX(Settings!$B$7,N$2:N363))</f>
        <v/>
      </c>
      <c r="P363" s="6">
        <f>IF(N363="","",N363-O363)</f>
        <v/>
      </c>
      <c r="Q363" s="2">
        <f>IF(L363="","",IF(L363&gt;0,"Win",IF(L363&lt;0,"Loss","Flat")))</f>
        <v/>
      </c>
      <c r="R363" s="2" t="n"/>
    </row>
    <row r="364">
      <c r="A364" s="2">
        <f>IF(C364&lt;&gt;"",A363+1,"")</f>
        <v/>
      </c>
      <c r="B364" s="2" t="n"/>
      <c r="C364" s="2" t="n"/>
      <c r="D364" s="2" t="n"/>
      <c r="E364" s="2" t="n"/>
      <c r="F364" s="2" t="n"/>
      <c r="G364" s="6" t="n"/>
      <c r="H364" s="6" t="n"/>
      <c r="I364" s="2">
        <f>IF(OR(E364="",G364="",H364=""),"",IF(E364="Short",G364-H364,H364-G364))</f>
        <v/>
      </c>
      <c r="J364" s="6">
        <f>IF(I364="","",I364*F364*Settings!$B$3)</f>
        <v/>
      </c>
      <c r="K364" s="6" t="n"/>
      <c r="L364" s="6">
        <f>IF(J364="","",J364-K364)</f>
        <v/>
      </c>
      <c r="M364" s="6">
        <f>IF(C364="","",N363)</f>
        <v/>
      </c>
      <c r="N364" s="6">
        <f>IF(L364="","",M364+L364)</f>
        <v/>
      </c>
      <c r="O364" s="6">
        <f>IF(N364="","",MAX(Settings!$B$7,N$2:N364))</f>
        <v/>
      </c>
      <c r="P364" s="6">
        <f>IF(N364="","",N364-O364)</f>
        <v/>
      </c>
      <c r="Q364" s="2">
        <f>IF(L364="","",IF(L364&gt;0,"Win",IF(L364&lt;0,"Loss","Flat")))</f>
        <v/>
      </c>
      <c r="R364" s="2" t="n"/>
    </row>
    <row r="365">
      <c r="A365" s="2">
        <f>IF(C365&lt;&gt;"",A364+1,"")</f>
        <v/>
      </c>
      <c r="B365" s="2" t="n"/>
      <c r="C365" s="2" t="n"/>
      <c r="D365" s="2" t="n"/>
      <c r="E365" s="2" t="n"/>
      <c r="F365" s="2" t="n"/>
      <c r="G365" s="6" t="n"/>
      <c r="H365" s="6" t="n"/>
      <c r="I365" s="2">
        <f>IF(OR(E365="",G365="",H365=""),"",IF(E365="Short",G365-H365,H365-G365))</f>
        <v/>
      </c>
      <c r="J365" s="6">
        <f>IF(I365="","",I365*F365*Settings!$B$3)</f>
        <v/>
      </c>
      <c r="K365" s="6" t="n"/>
      <c r="L365" s="6">
        <f>IF(J365="","",J365-K365)</f>
        <v/>
      </c>
      <c r="M365" s="6">
        <f>IF(C365="","",N364)</f>
        <v/>
      </c>
      <c r="N365" s="6">
        <f>IF(L365="","",M365+L365)</f>
        <v/>
      </c>
      <c r="O365" s="6">
        <f>IF(N365="","",MAX(Settings!$B$7,N$2:N365))</f>
        <v/>
      </c>
      <c r="P365" s="6">
        <f>IF(N365="","",N365-O365)</f>
        <v/>
      </c>
      <c r="Q365" s="2">
        <f>IF(L365="","",IF(L365&gt;0,"Win",IF(L365&lt;0,"Loss","Flat")))</f>
        <v/>
      </c>
      <c r="R365" s="2" t="n"/>
    </row>
    <row r="366">
      <c r="A366" s="2">
        <f>IF(C366&lt;&gt;"",A365+1,"")</f>
        <v/>
      </c>
      <c r="B366" s="2" t="n"/>
      <c r="C366" s="2" t="n"/>
      <c r="D366" s="2" t="n"/>
      <c r="E366" s="2" t="n"/>
      <c r="F366" s="2" t="n"/>
      <c r="G366" s="6" t="n"/>
      <c r="H366" s="6" t="n"/>
      <c r="I366" s="2">
        <f>IF(OR(E366="",G366="",H366=""),"",IF(E366="Short",G366-H366,H366-G366))</f>
        <v/>
      </c>
      <c r="J366" s="6">
        <f>IF(I366="","",I366*F366*Settings!$B$3)</f>
        <v/>
      </c>
      <c r="K366" s="6" t="n"/>
      <c r="L366" s="6">
        <f>IF(J366="","",J366-K366)</f>
        <v/>
      </c>
      <c r="M366" s="6">
        <f>IF(C366="","",N365)</f>
        <v/>
      </c>
      <c r="N366" s="6">
        <f>IF(L366="","",M366+L366)</f>
        <v/>
      </c>
      <c r="O366" s="6">
        <f>IF(N366="","",MAX(Settings!$B$7,N$2:N366))</f>
        <v/>
      </c>
      <c r="P366" s="6">
        <f>IF(N366="","",N366-O366)</f>
        <v/>
      </c>
      <c r="Q366" s="2">
        <f>IF(L366="","",IF(L366&gt;0,"Win",IF(L366&lt;0,"Loss","Flat")))</f>
        <v/>
      </c>
      <c r="R366" s="2" t="n"/>
    </row>
    <row r="367">
      <c r="A367" s="2">
        <f>IF(C367&lt;&gt;"",A366+1,"")</f>
        <v/>
      </c>
      <c r="B367" s="2" t="n"/>
      <c r="C367" s="2" t="n"/>
      <c r="D367" s="2" t="n"/>
      <c r="E367" s="2" t="n"/>
      <c r="F367" s="2" t="n"/>
      <c r="G367" s="6" t="n"/>
      <c r="H367" s="6" t="n"/>
      <c r="I367" s="2">
        <f>IF(OR(E367="",G367="",H367=""),"",IF(E367="Short",G367-H367,H367-G367))</f>
        <v/>
      </c>
      <c r="J367" s="6">
        <f>IF(I367="","",I367*F367*Settings!$B$3)</f>
        <v/>
      </c>
      <c r="K367" s="6" t="n"/>
      <c r="L367" s="6">
        <f>IF(J367="","",J367-K367)</f>
        <v/>
      </c>
      <c r="M367" s="6">
        <f>IF(C367="","",N366)</f>
        <v/>
      </c>
      <c r="N367" s="6">
        <f>IF(L367="","",M367+L367)</f>
        <v/>
      </c>
      <c r="O367" s="6">
        <f>IF(N367="","",MAX(Settings!$B$7,N$2:N367))</f>
        <v/>
      </c>
      <c r="P367" s="6">
        <f>IF(N367="","",N367-O367)</f>
        <v/>
      </c>
      <c r="Q367" s="2">
        <f>IF(L367="","",IF(L367&gt;0,"Win",IF(L367&lt;0,"Loss","Flat")))</f>
        <v/>
      </c>
      <c r="R367" s="2" t="n"/>
    </row>
    <row r="368">
      <c r="A368" s="2">
        <f>IF(C368&lt;&gt;"",A367+1,"")</f>
        <v/>
      </c>
      <c r="B368" s="2" t="n"/>
      <c r="C368" s="2" t="n"/>
      <c r="D368" s="2" t="n"/>
      <c r="E368" s="2" t="n"/>
      <c r="F368" s="2" t="n"/>
      <c r="G368" s="6" t="n"/>
      <c r="H368" s="6" t="n"/>
      <c r="I368" s="2">
        <f>IF(OR(E368="",G368="",H368=""),"",IF(E368="Short",G368-H368,H368-G368))</f>
        <v/>
      </c>
      <c r="J368" s="6">
        <f>IF(I368="","",I368*F368*Settings!$B$3)</f>
        <v/>
      </c>
      <c r="K368" s="6" t="n"/>
      <c r="L368" s="6">
        <f>IF(J368="","",J368-K368)</f>
        <v/>
      </c>
      <c r="M368" s="6">
        <f>IF(C368="","",N367)</f>
        <v/>
      </c>
      <c r="N368" s="6">
        <f>IF(L368="","",M368+L368)</f>
        <v/>
      </c>
      <c r="O368" s="6">
        <f>IF(N368="","",MAX(Settings!$B$7,N$2:N368))</f>
        <v/>
      </c>
      <c r="P368" s="6">
        <f>IF(N368="","",N368-O368)</f>
        <v/>
      </c>
      <c r="Q368" s="2">
        <f>IF(L368="","",IF(L368&gt;0,"Win",IF(L368&lt;0,"Loss","Flat")))</f>
        <v/>
      </c>
      <c r="R368" s="2" t="n"/>
    </row>
    <row r="369">
      <c r="A369" s="2">
        <f>IF(C369&lt;&gt;"",A368+1,"")</f>
        <v/>
      </c>
      <c r="B369" s="2" t="n"/>
      <c r="C369" s="2" t="n"/>
      <c r="D369" s="2" t="n"/>
      <c r="E369" s="2" t="n"/>
      <c r="F369" s="2" t="n"/>
      <c r="G369" s="6" t="n"/>
      <c r="H369" s="6" t="n"/>
      <c r="I369" s="2">
        <f>IF(OR(E369="",G369="",H369=""),"",IF(E369="Short",G369-H369,H369-G369))</f>
        <v/>
      </c>
      <c r="J369" s="6">
        <f>IF(I369="","",I369*F369*Settings!$B$3)</f>
        <v/>
      </c>
      <c r="K369" s="6" t="n"/>
      <c r="L369" s="6">
        <f>IF(J369="","",J369-K369)</f>
        <v/>
      </c>
      <c r="M369" s="6">
        <f>IF(C369="","",N368)</f>
        <v/>
      </c>
      <c r="N369" s="6">
        <f>IF(L369="","",M369+L369)</f>
        <v/>
      </c>
      <c r="O369" s="6">
        <f>IF(N369="","",MAX(Settings!$B$7,N$2:N369))</f>
        <v/>
      </c>
      <c r="P369" s="6">
        <f>IF(N369="","",N369-O369)</f>
        <v/>
      </c>
      <c r="Q369" s="2">
        <f>IF(L369="","",IF(L369&gt;0,"Win",IF(L369&lt;0,"Loss","Flat")))</f>
        <v/>
      </c>
      <c r="R369" s="2" t="n"/>
    </row>
    <row r="370">
      <c r="A370" s="2">
        <f>IF(C370&lt;&gt;"",A369+1,"")</f>
        <v/>
      </c>
      <c r="B370" s="2" t="n"/>
      <c r="C370" s="2" t="n"/>
      <c r="D370" s="2" t="n"/>
      <c r="E370" s="2" t="n"/>
      <c r="F370" s="2" t="n"/>
      <c r="G370" s="6" t="n"/>
      <c r="H370" s="6" t="n"/>
      <c r="I370" s="2">
        <f>IF(OR(E370="",G370="",H370=""),"",IF(E370="Short",G370-H370,H370-G370))</f>
        <v/>
      </c>
      <c r="J370" s="6">
        <f>IF(I370="","",I370*F370*Settings!$B$3)</f>
        <v/>
      </c>
      <c r="K370" s="6" t="n"/>
      <c r="L370" s="6">
        <f>IF(J370="","",J370-K370)</f>
        <v/>
      </c>
      <c r="M370" s="6">
        <f>IF(C370="","",N369)</f>
        <v/>
      </c>
      <c r="N370" s="6">
        <f>IF(L370="","",M370+L370)</f>
        <v/>
      </c>
      <c r="O370" s="6">
        <f>IF(N370="","",MAX(Settings!$B$7,N$2:N370))</f>
        <v/>
      </c>
      <c r="P370" s="6">
        <f>IF(N370="","",N370-O370)</f>
        <v/>
      </c>
      <c r="Q370" s="2">
        <f>IF(L370="","",IF(L370&gt;0,"Win",IF(L370&lt;0,"Loss","Flat")))</f>
        <v/>
      </c>
      <c r="R370" s="2" t="n"/>
    </row>
    <row r="371">
      <c r="A371" s="2">
        <f>IF(C371&lt;&gt;"",A370+1,"")</f>
        <v/>
      </c>
      <c r="B371" s="2" t="n"/>
      <c r="C371" s="2" t="n"/>
      <c r="D371" s="2" t="n"/>
      <c r="E371" s="2" t="n"/>
      <c r="F371" s="2" t="n"/>
      <c r="G371" s="6" t="n"/>
      <c r="H371" s="6" t="n"/>
      <c r="I371" s="2">
        <f>IF(OR(E371="",G371="",H371=""),"",IF(E371="Short",G371-H371,H371-G371))</f>
        <v/>
      </c>
      <c r="J371" s="6">
        <f>IF(I371="","",I371*F371*Settings!$B$3)</f>
        <v/>
      </c>
      <c r="K371" s="6" t="n"/>
      <c r="L371" s="6">
        <f>IF(J371="","",J371-K371)</f>
        <v/>
      </c>
      <c r="M371" s="6">
        <f>IF(C371="","",N370)</f>
        <v/>
      </c>
      <c r="N371" s="6">
        <f>IF(L371="","",M371+L371)</f>
        <v/>
      </c>
      <c r="O371" s="6">
        <f>IF(N371="","",MAX(Settings!$B$7,N$2:N371))</f>
        <v/>
      </c>
      <c r="P371" s="6">
        <f>IF(N371="","",N371-O371)</f>
        <v/>
      </c>
      <c r="Q371" s="2">
        <f>IF(L371="","",IF(L371&gt;0,"Win",IF(L371&lt;0,"Loss","Flat")))</f>
        <v/>
      </c>
      <c r="R371" s="2" t="n"/>
    </row>
    <row r="372">
      <c r="A372" s="2">
        <f>IF(C372&lt;&gt;"",A371+1,"")</f>
        <v/>
      </c>
      <c r="B372" s="2" t="n"/>
      <c r="C372" s="2" t="n"/>
      <c r="D372" s="2" t="n"/>
      <c r="E372" s="2" t="n"/>
      <c r="F372" s="2" t="n"/>
      <c r="G372" s="6" t="n"/>
      <c r="H372" s="6" t="n"/>
      <c r="I372" s="2">
        <f>IF(OR(E372="",G372="",H372=""),"",IF(E372="Short",G372-H372,H372-G372))</f>
        <v/>
      </c>
      <c r="J372" s="6">
        <f>IF(I372="","",I372*F372*Settings!$B$3)</f>
        <v/>
      </c>
      <c r="K372" s="6" t="n"/>
      <c r="L372" s="6">
        <f>IF(J372="","",J372-K372)</f>
        <v/>
      </c>
      <c r="M372" s="6">
        <f>IF(C372="","",N371)</f>
        <v/>
      </c>
      <c r="N372" s="6">
        <f>IF(L372="","",M372+L372)</f>
        <v/>
      </c>
      <c r="O372" s="6">
        <f>IF(N372="","",MAX(Settings!$B$7,N$2:N372))</f>
        <v/>
      </c>
      <c r="P372" s="6">
        <f>IF(N372="","",N372-O372)</f>
        <v/>
      </c>
      <c r="Q372" s="2">
        <f>IF(L372="","",IF(L372&gt;0,"Win",IF(L372&lt;0,"Loss","Flat")))</f>
        <v/>
      </c>
      <c r="R372" s="2" t="n"/>
    </row>
    <row r="373">
      <c r="A373" s="2">
        <f>IF(C373&lt;&gt;"",A372+1,"")</f>
        <v/>
      </c>
      <c r="B373" s="2" t="n"/>
      <c r="C373" s="2" t="n"/>
      <c r="D373" s="2" t="n"/>
      <c r="E373" s="2" t="n"/>
      <c r="F373" s="2" t="n"/>
      <c r="G373" s="6" t="n"/>
      <c r="H373" s="6" t="n"/>
      <c r="I373" s="2">
        <f>IF(OR(E373="",G373="",H373=""),"",IF(E373="Short",G373-H373,H373-G373))</f>
        <v/>
      </c>
      <c r="J373" s="6">
        <f>IF(I373="","",I373*F373*Settings!$B$3)</f>
        <v/>
      </c>
      <c r="K373" s="6" t="n"/>
      <c r="L373" s="6">
        <f>IF(J373="","",J373-K373)</f>
        <v/>
      </c>
      <c r="M373" s="6">
        <f>IF(C373="","",N372)</f>
        <v/>
      </c>
      <c r="N373" s="6">
        <f>IF(L373="","",M373+L373)</f>
        <v/>
      </c>
      <c r="O373" s="6">
        <f>IF(N373="","",MAX(Settings!$B$7,N$2:N373))</f>
        <v/>
      </c>
      <c r="P373" s="6">
        <f>IF(N373="","",N373-O373)</f>
        <v/>
      </c>
      <c r="Q373" s="2">
        <f>IF(L373="","",IF(L373&gt;0,"Win",IF(L373&lt;0,"Loss","Flat")))</f>
        <v/>
      </c>
      <c r="R373" s="2" t="n"/>
    </row>
    <row r="374">
      <c r="A374" s="2">
        <f>IF(C374&lt;&gt;"",A373+1,"")</f>
        <v/>
      </c>
      <c r="B374" s="2" t="n"/>
      <c r="C374" s="2" t="n"/>
      <c r="D374" s="2" t="n"/>
      <c r="E374" s="2" t="n"/>
      <c r="F374" s="2" t="n"/>
      <c r="G374" s="6" t="n"/>
      <c r="H374" s="6" t="n"/>
      <c r="I374" s="2">
        <f>IF(OR(E374="",G374="",H374=""),"",IF(E374="Short",G374-H374,H374-G374))</f>
        <v/>
      </c>
      <c r="J374" s="6">
        <f>IF(I374="","",I374*F374*Settings!$B$3)</f>
        <v/>
      </c>
      <c r="K374" s="6" t="n"/>
      <c r="L374" s="6">
        <f>IF(J374="","",J374-K374)</f>
        <v/>
      </c>
      <c r="M374" s="6">
        <f>IF(C374="","",N373)</f>
        <v/>
      </c>
      <c r="N374" s="6">
        <f>IF(L374="","",M374+L374)</f>
        <v/>
      </c>
      <c r="O374" s="6">
        <f>IF(N374="","",MAX(Settings!$B$7,N$2:N374))</f>
        <v/>
      </c>
      <c r="P374" s="6">
        <f>IF(N374="","",N374-O374)</f>
        <v/>
      </c>
      <c r="Q374" s="2">
        <f>IF(L374="","",IF(L374&gt;0,"Win",IF(L374&lt;0,"Loss","Flat")))</f>
        <v/>
      </c>
      <c r="R374" s="2" t="n"/>
    </row>
    <row r="375">
      <c r="A375" s="2">
        <f>IF(C375&lt;&gt;"",A374+1,"")</f>
        <v/>
      </c>
      <c r="B375" s="2" t="n"/>
      <c r="C375" s="2" t="n"/>
      <c r="D375" s="2" t="n"/>
      <c r="E375" s="2" t="n"/>
      <c r="F375" s="2" t="n"/>
      <c r="G375" s="6" t="n"/>
      <c r="H375" s="6" t="n"/>
      <c r="I375" s="2">
        <f>IF(OR(E375="",G375="",H375=""),"",IF(E375="Short",G375-H375,H375-G375))</f>
        <v/>
      </c>
      <c r="J375" s="6">
        <f>IF(I375="","",I375*F375*Settings!$B$3)</f>
        <v/>
      </c>
      <c r="K375" s="6" t="n"/>
      <c r="L375" s="6">
        <f>IF(J375="","",J375-K375)</f>
        <v/>
      </c>
      <c r="M375" s="6">
        <f>IF(C375="","",N374)</f>
        <v/>
      </c>
      <c r="N375" s="6">
        <f>IF(L375="","",M375+L375)</f>
        <v/>
      </c>
      <c r="O375" s="6">
        <f>IF(N375="","",MAX(Settings!$B$7,N$2:N375))</f>
        <v/>
      </c>
      <c r="P375" s="6">
        <f>IF(N375="","",N375-O375)</f>
        <v/>
      </c>
      <c r="Q375" s="2">
        <f>IF(L375="","",IF(L375&gt;0,"Win",IF(L375&lt;0,"Loss","Flat")))</f>
        <v/>
      </c>
      <c r="R375" s="2" t="n"/>
    </row>
    <row r="376">
      <c r="A376" s="2">
        <f>IF(C376&lt;&gt;"",A375+1,"")</f>
        <v/>
      </c>
      <c r="B376" s="2" t="n"/>
      <c r="C376" s="2" t="n"/>
      <c r="D376" s="2" t="n"/>
      <c r="E376" s="2" t="n"/>
      <c r="F376" s="2" t="n"/>
      <c r="G376" s="6" t="n"/>
      <c r="H376" s="6" t="n"/>
      <c r="I376" s="2">
        <f>IF(OR(E376="",G376="",H376=""),"",IF(E376="Short",G376-H376,H376-G376))</f>
        <v/>
      </c>
      <c r="J376" s="6">
        <f>IF(I376="","",I376*F376*Settings!$B$3)</f>
        <v/>
      </c>
      <c r="K376" s="6" t="n"/>
      <c r="L376" s="6">
        <f>IF(J376="","",J376-K376)</f>
        <v/>
      </c>
      <c r="M376" s="6">
        <f>IF(C376="","",N375)</f>
        <v/>
      </c>
      <c r="N376" s="6">
        <f>IF(L376="","",M376+L376)</f>
        <v/>
      </c>
      <c r="O376" s="6">
        <f>IF(N376="","",MAX(Settings!$B$7,N$2:N376))</f>
        <v/>
      </c>
      <c r="P376" s="6">
        <f>IF(N376="","",N376-O376)</f>
        <v/>
      </c>
      <c r="Q376" s="2">
        <f>IF(L376="","",IF(L376&gt;0,"Win",IF(L376&lt;0,"Loss","Flat")))</f>
        <v/>
      </c>
      <c r="R376" s="2" t="n"/>
    </row>
    <row r="377">
      <c r="A377" s="2">
        <f>IF(C377&lt;&gt;"",A376+1,"")</f>
        <v/>
      </c>
      <c r="B377" s="2" t="n"/>
      <c r="C377" s="2" t="n"/>
      <c r="D377" s="2" t="n"/>
      <c r="E377" s="2" t="n"/>
      <c r="F377" s="2" t="n"/>
      <c r="G377" s="6" t="n"/>
      <c r="H377" s="6" t="n"/>
      <c r="I377" s="2">
        <f>IF(OR(E377="",G377="",H377=""),"",IF(E377="Short",G377-H377,H377-G377))</f>
        <v/>
      </c>
      <c r="J377" s="6">
        <f>IF(I377="","",I377*F377*Settings!$B$3)</f>
        <v/>
      </c>
      <c r="K377" s="6" t="n"/>
      <c r="L377" s="6">
        <f>IF(J377="","",J377-K377)</f>
        <v/>
      </c>
      <c r="M377" s="6">
        <f>IF(C377="","",N376)</f>
        <v/>
      </c>
      <c r="N377" s="6">
        <f>IF(L377="","",M377+L377)</f>
        <v/>
      </c>
      <c r="O377" s="6">
        <f>IF(N377="","",MAX(Settings!$B$7,N$2:N377))</f>
        <v/>
      </c>
      <c r="P377" s="6">
        <f>IF(N377="","",N377-O377)</f>
        <v/>
      </c>
      <c r="Q377" s="2">
        <f>IF(L377="","",IF(L377&gt;0,"Win",IF(L377&lt;0,"Loss","Flat")))</f>
        <v/>
      </c>
      <c r="R377" s="2" t="n"/>
    </row>
    <row r="378">
      <c r="A378" s="2">
        <f>IF(C378&lt;&gt;"",A377+1,"")</f>
        <v/>
      </c>
      <c r="B378" s="2" t="n"/>
      <c r="C378" s="2" t="n"/>
      <c r="D378" s="2" t="n"/>
      <c r="E378" s="2" t="n"/>
      <c r="F378" s="2" t="n"/>
      <c r="G378" s="6" t="n"/>
      <c r="H378" s="6" t="n"/>
      <c r="I378" s="2">
        <f>IF(OR(E378="",G378="",H378=""),"",IF(E378="Short",G378-H378,H378-G378))</f>
        <v/>
      </c>
      <c r="J378" s="6">
        <f>IF(I378="","",I378*F378*Settings!$B$3)</f>
        <v/>
      </c>
      <c r="K378" s="6" t="n"/>
      <c r="L378" s="6">
        <f>IF(J378="","",J378-K378)</f>
        <v/>
      </c>
      <c r="M378" s="6">
        <f>IF(C378="","",N377)</f>
        <v/>
      </c>
      <c r="N378" s="6">
        <f>IF(L378="","",M378+L378)</f>
        <v/>
      </c>
      <c r="O378" s="6">
        <f>IF(N378="","",MAX(Settings!$B$7,N$2:N378))</f>
        <v/>
      </c>
      <c r="P378" s="6">
        <f>IF(N378="","",N378-O378)</f>
        <v/>
      </c>
      <c r="Q378" s="2">
        <f>IF(L378="","",IF(L378&gt;0,"Win",IF(L378&lt;0,"Loss","Flat")))</f>
        <v/>
      </c>
      <c r="R378" s="2" t="n"/>
    </row>
    <row r="379">
      <c r="A379" s="2">
        <f>IF(C379&lt;&gt;"",A378+1,"")</f>
        <v/>
      </c>
      <c r="B379" s="2" t="n"/>
      <c r="C379" s="2" t="n"/>
      <c r="D379" s="2" t="n"/>
      <c r="E379" s="2" t="n"/>
      <c r="F379" s="2" t="n"/>
      <c r="G379" s="6" t="n"/>
      <c r="H379" s="6" t="n"/>
      <c r="I379" s="2">
        <f>IF(OR(E379="",G379="",H379=""),"",IF(E379="Short",G379-H379,H379-G379))</f>
        <v/>
      </c>
      <c r="J379" s="6">
        <f>IF(I379="","",I379*F379*Settings!$B$3)</f>
        <v/>
      </c>
      <c r="K379" s="6" t="n"/>
      <c r="L379" s="6">
        <f>IF(J379="","",J379-K379)</f>
        <v/>
      </c>
      <c r="M379" s="6">
        <f>IF(C379="","",N378)</f>
        <v/>
      </c>
      <c r="N379" s="6">
        <f>IF(L379="","",M379+L379)</f>
        <v/>
      </c>
      <c r="O379" s="6">
        <f>IF(N379="","",MAX(Settings!$B$7,N$2:N379))</f>
        <v/>
      </c>
      <c r="P379" s="6">
        <f>IF(N379="","",N379-O379)</f>
        <v/>
      </c>
      <c r="Q379" s="2">
        <f>IF(L379="","",IF(L379&gt;0,"Win",IF(L379&lt;0,"Loss","Flat")))</f>
        <v/>
      </c>
      <c r="R379" s="2" t="n"/>
    </row>
    <row r="380">
      <c r="A380" s="2">
        <f>IF(C380&lt;&gt;"",A379+1,"")</f>
        <v/>
      </c>
      <c r="B380" s="2" t="n"/>
      <c r="C380" s="2" t="n"/>
      <c r="D380" s="2" t="n"/>
      <c r="E380" s="2" t="n"/>
      <c r="F380" s="2" t="n"/>
      <c r="G380" s="6" t="n"/>
      <c r="H380" s="6" t="n"/>
      <c r="I380" s="2">
        <f>IF(OR(E380="",G380="",H380=""),"",IF(E380="Short",G380-H380,H380-G380))</f>
        <v/>
      </c>
      <c r="J380" s="6">
        <f>IF(I380="","",I380*F380*Settings!$B$3)</f>
        <v/>
      </c>
      <c r="K380" s="6" t="n"/>
      <c r="L380" s="6">
        <f>IF(J380="","",J380-K380)</f>
        <v/>
      </c>
      <c r="M380" s="6">
        <f>IF(C380="","",N379)</f>
        <v/>
      </c>
      <c r="N380" s="6">
        <f>IF(L380="","",M380+L380)</f>
        <v/>
      </c>
      <c r="O380" s="6">
        <f>IF(N380="","",MAX(Settings!$B$7,N$2:N380))</f>
        <v/>
      </c>
      <c r="P380" s="6">
        <f>IF(N380="","",N380-O380)</f>
        <v/>
      </c>
      <c r="Q380" s="2">
        <f>IF(L380="","",IF(L380&gt;0,"Win",IF(L380&lt;0,"Loss","Flat")))</f>
        <v/>
      </c>
      <c r="R380" s="2" t="n"/>
    </row>
    <row r="381">
      <c r="A381" s="2">
        <f>IF(C381&lt;&gt;"",A380+1,"")</f>
        <v/>
      </c>
      <c r="B381" s="2" t="n"/>
      <c r="C381" s="2" t="n"/>
      <c r="D381" s="2" t="n"/>
      <c r="E381" s="2" t="n"/>
      <c r="F381" s="2" t="n"/>
      <c r="G381" s="6" t="n"/>
      <c r="H381" s="6" t="n"/>
      <c r="I381" s="2">
        <f>IF(OR(E381="",G381="",H381=""),"",IF(E381="Short",G381-H381,H381-G381))</f>
        <v/>
      </c>
      <c r="J381" s="6">
        <f>IF(I381="","",I381*F381*Settings!$B$3)</f>
        <v/>
      </c>
      <c r="K381" s="6" t="n"/>
      <c r="L381" s="6">
        <f>IF(J381="","",J381-K381)</f>
        <v/>
      </c>
      <c r="M381" s="6">
        <f>IF(C381="","",N380)</f>
        <v/>
      </c>
      <c r="N381" s="6">
        <f>IF(L381="","",M381+L381)</f>
        <v/>
      </c>
      <c r="O381" s="6">
        <f>IF(N381="","",MAX(Settings!$B$7,N$2:N381))</f>
        <v/>
      </c>
      <c r="P381" s="6">
        <f>IF(N381="","",N381-O381)</f>
        <v/>
      </c>
      <c r="Q381" s="2">
        <f>IF(L381="","",IF(L381&gt;0,"Win",IF(L381&lt;0,"Loss","Flat")))</f>
        <v/>
      </c>
      <c r="R381" s="2" t="n"/>
    </row>
    <row r="382">
      <c r="A382" s="2">
        <f>IF(C382&lt;&gt;"",A381+1,"")</f>
        <v/>
      </c>
      <c r="B382" s="2" t="n"/>
      <c r="C382" s="2" t="n"/>
      <c r="D382" s="2" t="n"/>
      <c r="E382" s="2" t="n"/>
      <c r="F382" s="2" t="n"/>
      <c r="G382" s="6" t="n"/>
      <c r="H382" s="6" t="n"/>
      <c r="I382" s="2">
        <f>IF(OR(E382="",G382="",H382=""),"",IF(E382="Short",G382-H382,H382-G382))</f>
        <v/>
      </c>
      <c r="J382" s="6">
        <f>IF(I382="","",I382*F382*Settings!$B$3)</f>
        <v/>
      </c>
      <c r="K382" s="6" t="n"/>
      <c r="L382" s="6">
        <f>IF(J382="","",J382-K382)</f>
        <v/>
      </c>
      <c r="M382" s="6">
        <f>IF(C382="","",N381)</f>
        <v/>
      </c>
      <c r="N382" s="6">
        <f>IF(L382="","",M382+L382)</f>
        <v/>
      </c>
      <c r="O382" s="6">
        <f>IF(N382="","",MAX(Settings!$B$7,N$2:N382))</f>
        <v/>
      </c>
      <c r="P382" s="6">
        <f>IF(N382="","",N382-O382)</f>
        <v/>
      </c>
      <c r="Q382" s="2">
        <f>IF(L382="","",IF(L382&gt;0,"Win",IF(L382&lt;0,"Loss","Flat")))</f>
        <v/>
      </c>
      <c r="R382" s="2" t="n"/>
    </row>
    <row r="383">
      <c r="A383" s="2">
        <f>IF(C383&lt;&gt;"",A382+1,"")</f>
        <v/>
      </c>
      <c r="B383" s="2" t="n"/>
      <c r="C383" s="2" t="n"/>
      <c r="D383" s="2" t="n"/>
      <c r="E383" s="2" t="n"/>
      <c r="F383" s="2" t="n"/>
      <c r="G383" s="6" t="n"/>
      <c r="H383" s="6" t="n"/>
      <c r="I383" s="2">
        <f>IF(OR(E383="",G383="",H383=""),"",IF(E383="Short",G383-H383,H383-G383))</f>
        <v/>
      </c>
      <c r="J383" s="6">
        <f>IF(I383="","",I383*F383*Settings!$B$3)</f>
        <v/>
      </c>
      <c r="K383" s="6" t="n"/>
      <c r="L383" s="6">
        <f>IF(J383="","",J383-K383)</f>
        <v/>
      </c>
      <c r="M383" s="6">
        <f>IF(C383="","",N382)</f>
        <v/>
      </c>
      <c r="N383" s="6">
        <f>IF(L383="","",M383+L383)</f>
        <v/>
      </c>
      <c r="O383" s="6">
        <f>IF(N383="","",MAX(Settings!$B$7,N$2:N383))</f>
        <v/>
      </c>
      <c r="P383" s="6">
        <f>IF(N383="","",N383-O383)</f>
        <v/>
      </c>
      <c r="Q383" s="2">
        <f>IF(L383="","",IF(L383&gt;0,"Win",IF(L383&lt;0,"Loss","Flat")))</f>
        <v/>
      </c>
      <c r="R383" s="2" t="n"/>
    </row>
    <row r="384">
      <c r="A384" s="2">
        <f>IF(C384&lt;&gt;"",A383+1,"")</f>
        <v/>
      </c>
      <c r="B384" s="2" t="n"/>
      <c r="C384" s="2" t="n"/>
      <c r="D384" s="2" t="n"/>
      <c r="E384" s="2" t="n"/>
      <c r="F384" s="2" t="n"/>
      <c r="G384" s="6" t="n"/>
      <c r="H384" s="6" t="n"/>
      <c r="I384" s="2">
        <f>IF(OR(E384="",G384="",H384=""),"",IF(E384="Short",G384-H384,H384-G384))</f>
        <v/>
      </c>
      <c r="J384" s="6">
        <f>IF(I384="","",I384*F384*Settings!$B$3)</f>
        <v/>
      </c>
      <c r="K384" s="6" t="n"/>
      <c r="L384" s="6">
        <f>IF(J384="","",J384-K384)</f>
        <v/>
      </c>
      <c r="M384" s="6">
        <f>IF(C384="","",N383)</f>
        <v/>
      </c>
      <c r="N384" s="6">
        <f>IF(L384="","",M384+L384)</f>
        <v/>
      </c>
      <c r="O384" s="6">
        <f>IF(N384="","",MAX(Settings!$B$7,N$2:N384))</f>
        <v/>
      </c>
      <c r="P384" s="6">
        <f>IF(N384="","",N384-O384)</f>
        <v/>
      </c>
      <c r="Q384" s="2">
        <f>IF(L384="","",IF(L384&gt;0,"Win",IF(L384&lt;0,"Loss","Flat")))</f>
        <v/>
      </c>
      <c r="R384" s="2" t="n"/>
    </row>
    <row r="385">
      <c r="A385" s="2">
        <f>IF(C385&lt;&gt;"",A384+1,"")</f>
        <v/>
      </c>
      <c r="B385" s="2" t="n"/>
      <c r="C385" s="2" t="n"/>
      <c r="D385" s="2" t="n"/>
      <c r="E385" s="2" t="n"/>
      <c r="F385" s="2" t="n"/>
      <c r="G385" s="6" t="n"/>
      <c r="H385" s="6" t="n"/>
      <c r="I385" s="2">
        <f>IF(OR(E385="",G385="",H385=""),"",IF(E385="Short",G385-H385,H385-G385))</f>
        <v/>
      </c>
      <c r="J385" s="6">
        <f>IF(I385="","",I385*F385*Settings!$B$3)</f>
        <v/>
      </c>
      <c r="K385" s="6" t="n"/>
      <c r="L385" s="6">
        <f>IF(J385="","",J385-K385)</f>
        <v/>
      </c>
      <c r="M385" s="6">
        <f>IF(C385="","",N384)</f>
        <v/>
      </c>
      <c r="N385" s="6">
        <f>IF(L385="","",M385+L385)</f>
        <v/>
      </c>
      <c r="O385" s="6">
        <f>IF(N385="","",MAX(Settings!$B$7,N$2:N385))</f>
        <v/>
      </c>
      <c r="P385" s="6">
        <f>IF(N385="","",N385-O385)</f>
        <v/>
      </c>
      <c r="Q385" s="2">
        <f>IF(L385="","",IF(L385&gt;0,"Win",IF(L385&lt;0,"Loss","Flat")))</f>
        <v/>
      </c>
      <c r="R385" s="2" t="n"/>
    </row>
    <row r="386">
      <c r="A386" s="2">
        <f>IF(C386&lt;&gt;"",A385+1,"")</f>
        <v/>
      </c>
      <c r="B386" s="2" t="n"/>
      <c r="C386" s="2" t="n"/>
      <c r="D386" s="2" t="n"/>
      <c r="E386" s="2" t="n"/>
      <c r="F386" s="2" t="n"/>
      <c r="G386" s="6" t="n"/>
      <c r="H386" s="6" t="n"/>
      <c r="I386" s="2">
        <f>IF(OR(E386="",G386="",H386=""),"",IF(E386="Short",G386-H386,H386-G386))</f>
        <v/>
      </c>
      <c r="J386" s="6">
        <f>IF(I386="","",I386*F386*Settings!$B$3)</f>
        <v/>
      </c>
      <c r="K386" s="6" t="n"/>
      <c r="L386" s="6">
        <f>IF(J386="","",J386-K386)</f>
        <v/>
      </c>
      <c r="M386" s="6">
        <f>IF(C386="","",N385)</f>
        <v/>
      </c>
      <c r="N386" s="6">
        <f>IF(L386="","",M386+L386)</f>
        <v/>
      </c>
      <c r="O386" s="6">
        <f>IF(N386="","",MAX(Settings!$B$7,N$2:N386))</f>
        <v/>
      </c>
      <c r="P386" s="6">
        <f>IF(N386="","",N386-O386)</f>
        <v/>
      </c>
      <c r="Q386" s="2">
        <f>IF(L386="","",IF(L386&gt;0,"Win",IF(L386&lt;0,"Loss","Flat")))</f>
        <v/>
      </c>
      <c r="R386" s="2" t="n"/>
    </row>
    <row r="387">
      <c r="A387" s="2">
        <f>IF(C387&lt;&gt;"",A386+1,"")</f>
        <v/>
      </c>
      <c r="B387" s="2" t="n"/>
      <c r="C387" s="2" t="n"/>
      <c r="D387" s="2" t="n"/>
      <c r="E387" s="2" t="n"/>
      <c r="F387" s="2" t="n"/>
      <c r="G387" s="6" t="n"/>
      <c r="H387" s="6" t="n"/>
      <c r="I387" s="2">
        <f>IF(OR(E387="",G387="",H387=""),"",IF(E387="Short",G387-H387,H387-G387))</f>
        <v/>
      </c>
      <c r="J387" s="6">
        <f>IF(I387="","",I387*F387*Settings!$B$3)</f>
        <v/>
      </c>
      <c r="K387" s="6" t="n"/>
      <c r="L387" s="6">
        <f>IF(J387="","",J387-K387)</f>
        <v/>
      </c>
      <c r="M387" s="6">
        <f>IF(C387="","",N386)</f>
        <v/>
      </c>
      <c r="N387" s="6">
        <f>IF(L387="","",M387+L387)</f>
        <v/>
      </c>
      <c r="O387" s="6">
        <f>IF(N387="","",MAX(Settings!$B$7,N$2:N387))</f>
        <v/>
      </c>
      <c r="P387" s="6">
        <f>IF(N387="","",N387-O387)</f>
        <v/>
      </c>
      <c r="Q387" s="2">
        <f>IF(L387="","",IF(L387&gt;0,"Win",IF(L387&lt;0,"Loss","Flat")))</f>
        <v/>
      </c>
      <c r="R387" s="2" t="n"/>
    </row>
    <row r="388">
      <c r="A388" s="2">
        <f>IF(C388&lt;&gt;"",A387+1,"")</f>
        <v/>
      </c>
      <c r="B388" s="2" t="n"/>
      <c r="C388" s="2" t="n"/>
      <c r="D388" s="2" t="n"/>
      <c r="E388" s="2" t="n"/>
      <c r="F388" s="2" t="n"/>
      <c r="G388" s="6" t="n"/>
      <c r="H388" s="6" t="n"/>
      <c r="I388" s="2">
        <f>IF(OR(E388="",G388="",H388=""),"",IF(E388="Short",G388-H388,H388-G388))</f>
        <v/>
      </c>
      <c r="J388" s="6">
        <f>IF(I388="","",I388*F388*Settings!$B$3)</f>
        <v/>
      </c>
      <c r="K388" s="6" t="n"/>
      <c r="L388" s="6">
        <f>IF(J388="","",J388-K388)</f>
        <v/>
      </c>
      <c r="M388" s="6">
        <f>IF(C388="","",N387)</f>
        <v/>
      </c>
      <c r="N388" s="6">
        <f>IF(L388="","",M388+L388)</f>
        <v/>
      </c>
      <c r="O388" s="6">
        <f>IF(N388="","",MAX(Settings!$B$7,N$2:N388))</f>
        <v/>
      </c>
      <c r="P388" s="6">
        <f>IF(N388="","",N388-O388)</f>
        <v/>
      </c>
      <c r="Q388" s="2">
        <f>IF(L388="","",IF(L388&gt;0,"Win",IF(L388&lt;0,"Loss","Flat")))</f>
        <v/>
      </c>
      <c r="R388" s="2" t="n"/>
    </row>
    <row r="389">
      <c r="A389" s="2">
        <f>IF(C389&lt;&gt;"",A388+1,"")</f>
        <v/>
      </c>
      <c r="B389" s="2" t="n"/>
      <c r="C389" s="2" t="n"/>
      <c r="D389" s="2" t="n"/>
      <c r="E389" s="2" t="n"/>
      <c r="F389" s="2" t="n"/>
      <c r="G389" s="6" t="n"/>
      <c r="H389" s="6" t="n"/>
      <c r="I389" s="2">
        <f>IF(OR(E389="",G389="",H389=""),"",IF(E389="Short",G389-H389,H389-G389))</f>
        <v/>
      </c>
      <c r="J389" s="6">
        <f>IF(I389="","",I389*F389*Settings!$B$3)</f>
        <v/>
      </c>
      <c r="K389" s="6" t="n"/>
      <c r="L389" s="6">
        <f>IF(J389="","",J389-K389)</f>
        <v/>
      </c>
      <c r="M389" s="6">
        <f>IF(C389="","",N388)</f>
        <v/>
      </c>
      <c r="N389" s="6">
        <f>IF(L389="","",M389+L389)</f>
        <v/>
      </c>
      <c r="O389" s="6">
        <f>IF(N389="","",MAX(Settings!$B$7,N$2:N389))</f>
        <v/>
      </c>
      <c r="P389" s="6">
        <f>IF(N389="","",N389-O389)</f>
        <v/>
      </c>
      <c r="Q389" s="2">
        <f>IF(L389="","",IF(L389&gt;0,"Win",IF(L389&lt;0,"Loss","Flat")))</f>
        <v/>
      </c>
      <c r="R389" s="2" t="n"/>
    </row>
    <row r="390">
      <c r="A390" s="2">
        <f>IF(C390&lt;&gt;"",A389+1,"")</f>
        <v/>
      </c>
      <c r="B390" s="2" t="n"/>
      <c r="C390" s="2" t="n"/>
      <c r="D390" s="2" t="n"/>
      <c r="E390" s="2" t="n"/>
      <c r="F390" s="2" t="n"/>
      <c r="G390" s="6" t="n"/>
      <c r="H390" s="6" t="n"/>
      <c r="I390" s="2">
        <f>IF(OR(E390="",G390="",H390=""),"",IF(E390="Short",G390-H390,H390-G390))</f>
        <v/>
      </c>
      <c r="J390" s="6">
        <f>IF(I390="","",I390*F390*Settings!$B$3)</f>
        <v/>
      </c>
      <c r="K390" s="6" t="n"/>
      <c r="L390" s="6">
        <f>IF(J390="","",J390-K390)</f>
        <v/>
      </c>
      <c r="M390" s="6">
        <f>IF(C390="","",N389)</f>
        <v/>
      </c>
      <c r="N390" s="6">
        <f>IF(L390="","",M390+L390)</f>
        <v/>
      </c>
      <c r="O390" s="6">
        <f>IF(N390="","",MAX(Settings!$B$7,N$2:N390))</f>
        <v/>
      </c>
      <c r="P390" s="6">
        <f>IF(N390="","",N390-O390)</f>
        <v/>
      </c>
      <c r="Q390" s="2">
        <f>IF(L390="","",IF(L390&gt;0,"Win",IF(L390&lt;0,"Loss","Flat")))</f>
        <v/>
      </c>
      <c r="R390" s="2" t="n"/>
    </row>
    <row r="391">
      <c r="A391" s="2">
        <f>IF(C391&lt;&gt;"",A390+1,"")</f>
        <v/>
      </c>
      <c r="B391" s="2" t="n"/>
      <c r="C391" s="2" t="n"/>
      <c r="D391" s="2" t="n"/>
      <c r="E391" s="2" t="n"/>
      <c r="F391" s="2" t="n"/>
      <c r="G391" s="6" t="n"/>
      <c r="H391" s="6" t="n"/>
      <c r="I391" s="2">
        <f>IF(OR(E391="",G391="",H391=""),"",IF(E391="Short",G391-H391,H391-G391))</f>
        <v/>
      </c>
      <c r="J391" s="6">
        <f>IF(I391="","",I391*F391*Settings!$B$3)</f>
        <v/>
      </c>
      <c r="K391" s="6" t="n"/>
      <c r="L391" s="6">
        <f>IF(J391="","",J391-K391)</f>
        <v/>
      </c>
      <c r="M391" s="6">
        <f>IF(C391="","",N390)</f>
        <v/>
      </c>
      <c r="N391" s="6">
        <f>IF(L391="","",M391+L391)</f>
        <v/>
      </c>
      <c r="O391" s="6">
        <f>IF(N391="","",MAX(Settings!$B$7,N$2:N391))</f>
        <v/>
      </c>
      <c r="P391" s="6">
        <f>IF(N391="","",N391-O391)</f>
        <v/>
      </c>
      <c r="Q391" s="2">
        <f>IF(L391="","",IF(L391&gt;0,"Win",IF(L391&lt;0,"Loss","Flat")))</f>
        <v/>
      </c>
      <c r="R391" s="2" t="n"/>
    </row>
    <row r="392">
      <c r="A392" s="2">
        <f>IF(C392&lt;&gt;"",A391+1,"")</f>
        <v/>
      </c>
      <c r="B392" s="2" t="n"/>
      <c r="C392" s="2" t="n"/>
      <c r="D392" s="2" t="n"/>
      <c r="E392" s="2" t="n"/>
      <c r="F392" s="2" t="n"/>
      <c r="G392" s="6" t="n"/>
      <c r="H392" s="6" t="n"/>
      <c r="I392" s="2">
        <f>IF(OR(E392="",G392="",H392=""),"",IF(E392="Short",G392-H392,H392-G392))</f>
        <v/>
      </c>
      <c r="J392" s="6">
        <f>IF(I392="","",I392*F392*Settings!$B$3)</f>
        <v/>
      </c>
      <c r="K392" s="6" t="n"/>
      <c r="L392" s="6">
        <f>IF(J392="","",J392-K392)</f>
        <v/>
      </c>
      <c r="M392" s="6">
        <f>IF(C392="","",N391)</f>
        <v/>
      </c>
      <c r="N392" s="6">
        <f>IF(L392="","",M392+L392)</f>
        <v/>
      </c>
      <c r="O392" s="6">
        <f>IF(N392="","",MAX(Settings!$B$7,N$2:N392))</f>
        <v/>
      </c>
      <c r="P392" s="6">
        <f>IF(N392="","",N392-O392)</f>
        <v/>
      </c>
      <c r="Q392" s="2">
        <f>IF(L392="","",IF(L392&gt;0,"Win",IF(L392&lt;0,"Loss","Flat")))</f>
        <v/>
      </c>
      <c r="R392" s="2" t="n"/>
    </row>
    <row r="393">
      <c r="A393" s="2">
        <f>IF(C393&lt;&gt;"",A392+1,"")</f>
        <v/>
      </c>
      <c r="B393" s="2" t="n"/>
      <c r="C393" s="2" t="n"/>
      <c r="D393" s="2" t="n"/>
      <c r="E393" s="2" t="n"/>
      <c r="F393" s="2" t="n"/>
      <c r="G393" s="6" t="n"/>
      <c r="H393" s="6" t="n"/>
      <c r="I393" s="2">
        <f>IF(OR(E393="",G393="",H393=""),"",IF(E393="Short",G393-H393,H393-G393))</f>
        <v/>
      </c>
      <c r="J393" s="6">
        <f>IF(I393="","",I393*F393*Settings!$B$3)</f>
        <v/>
      </c>
      <c r="K393" s="6" t="n"/>
      <c r="L393" s="6">
        <f>IF(J393="","",J393-K393)</f>
        <v/>
      </c>
      <c r="M393" s="6">
        <f>IF(C393="","",N392)</f>
        <v/>
      </c>
      <c r="N393" s="6">
        <f>IF(L393="","",M393+L393)</f>
        <v/>
      </c>
      <c r="O393" s="6">
        <f>IF(N393="","",MAX(Settings!$B$7,N$2:N393))</f>
        <v/>
      </c>
      <c r="P393" s="6">
        <f>IF(N393="","",N393-O393)</f>
        <v/>
      </c>
      <c r="Q393" s="2">
        <f>IF(L393="","",IF(L393&gt;0,"Win",IF(L393&lt;0,"Loss","Flat")))</f>
        <v/>
      </c>
      <c r="R393" s="2" t="n"/>
    </row>
    <row r="394">
      <c r="A394" s="2">
        <f>IF(C394&lt;&gt;"",A393+1,"")</f>
        <v/>
      </c>
      <c r="B394" s="2" t="n"/>
      <c r="C394" s="2" t="n"/>
      <c r="D394" s="2" t="n"/>
      <c r="E394" s="2" t="n"/>
      <c r="F394" s="2" t="n"/>
      <c r="G394" s="6" t="n"/>
      <c r="H394" s="6" t="n"/>
      <c r="I394" s="2">
        <f>IF(OR(E394="",G394="",H394=""),"",IF(E394="Short",G394-H394,H394-G394))</f>
        <v/>
      </c>
      <c r="J394" s="6">
        <f>IF(I394="","",I394*F394*Settings!$B$3)</f>
        <v/>
      </c>
      <c r="K394" s="6" t="n"/>
      <c r="L394" s="6">
        <f>IF(J394="","",J394-K394)</f>
        <v/>
      </c>
      <c r="M394" s="6">
        <f>IF(C394="","",N393)</f>
        <v/>
      </c>
      <c r="N394" s="6">
        <f>IF(L394="","",M394+L394)</f>
        <v/>
      </c>
      <c r="O394" s="6">
        <f>IF(N394="","",MAX(Settings!$B$7,N$2:N394))</f>
        <v/>
      </c>
      <c r="P394" s="6">
        <f>IF(N394="","",N394-O394)</f>
        <v/>
      </c>
      <c r="Q394" s="2">
        <f>IF(L394="","",IF(L394&gt;0,"Win",IF(L394&lt;0,"Loss","Flat")))</f>
        <v/>
      </c>
      <c r="R394" s="2" t="n"/>
    </row>
    <row r="395">
      <c r="A395" s="2">
        <f>IF(C395&lt;&gt;"",A394+1,"")</f>
        <v/>
      </c>
      <c r="B395" s="2" t="n"/>
      <c r="C395" s="2" t="n"/>
      <c r="D395" s="2" t="n"/>
      <c r="E395" s="2" t="n"/>
      <c r="F395" s="2" t="n"/>
      <c r="G395" s="6" t="n"/>
      <c r="H395" s="6" t="n"/>
      <c r="I395" s="2">
        <f>IF(OR(E395="",G395="",H395=""),"",IF(E395="Short",G395-H395,H395-G395))</f>
        <v/>
      </c>
      <c r="J395" s="6">
        <f>IF(I395="","",I395*F395*Settings!$B$3)</f>
        <v/>
      </c>
      <c r="K395" s="6" t="n"/>
      <c r="L395" s="6">
        <f>IF(J395="","",J395-K395)</f>
        <v/>
      </c>
      <c r="M395" s="6">
        <f>IF(C395="","",N394)</f>
        <v/>
      </c>
      <c r="N395" s="6">
        <f>IF(L395="","",M395+L395)</f>
        <v/>
      </c>
      <c r="O395" s="6">
        <f>IF(N395="","",MAX(Settings!$B$7,N$2:N395))</f>
        <v/>
      </c>
      <c r="P395" s="6">
        <f>IF(N395="","",N395-O395)</f>
        <v/>
      </c>
      <c r="Q395" s="2">
        <f>IF(L395="","",IF(L395&gt;0,"Win",IF(L395&lt;0,"Loss","Flat")))</f>
        <v/>
      </c>
      <c r="R395" s="2" t="n"/>
    </row>
    <row r="396">
      <c r="A396" s="2">
        <f>IF(C396&lt;&gt;"",A395+1,"")</f>
        <v/>
      </c>
      <c r="B396" s="2" t="n"/>
      <c r="C396" s="2" t="n"/>
      <c r="D396" s="2" t="n"/>
      <c r="E396" s="2" t="n"/>
      <c r="F396" s="2" t="n"/>
      <c r="G396" s="6" t="n"/>
      <c r="H396" s="6" t="n"/>
      <c r="I396" s="2">
        <f>IF(OR(E396="",G396="",H396=""),"",IF(E396="Short",G396-H396,H396-G396))</f>
        <v/>
      </c>
      <c r="J396" s="6">
        <f>IF(I396="","",I396*F396*Settings!$B$3)</f>
        <v/>
      </c>
      <c r="K396" s="6" t="n"/>
      <c r="L396" s="6">
        <f>IF(J396="","",J396-K396)</f>
        <v/>
      </c>
      <c r="M396" s="6">
        <f>IF(C396="","",N395)</f>
        <v/>
      </c>
      <c r="N396" s="6">
        <f>IF(L396="","",M396+L396)</f>
        <v/>
      </c>
      <c r="O396" s="6">
        <f>IF(N396="","",MAX(Settings!$B$7,N$2:N396))</f>
        <v/>
      </c>
      <c r="P396" s="6">
        <f>IF(N396="","",N396-O396)</f>
        <v/>
      </c>
      <c r="Q396" s="2">
        <f>IF(L396="","",IF(L396&gt;0,"Win",IF(L396&lt;0,"Loss","Flat")))</f>
        <v/>
      </c>
      <c r="R396" s="2" t="n"/>
    </row>
    <row r="397">
      <c r="A397" s="2">
        <f>IF(C397&lt;&gt;"",A396+1,"")</f>
        <v/>
      </c>
      <c r="B397" s="2" t="n"/>
      <c r="C397" s="2" t="n"/>
      <c r="D397" s="2" t="n"/>
      <c r="E397" s="2" t="n"/>
      <c r="F397" s="2" t="n"/>
      <c r="G397" s="6" t="n"/>
      <c r="H397" s="6" t="n"/>
      <c r="I397" s="2">
        <f>IF(OR(E397="",G397="",H397=""),"",IF(E397="Short",G397-H397,H397-G397))</f>
        <v/>
      </c>
      <c r="J397" s="6">
        <f>IF(I397="","",I397*F397*Settings!$B$3)</f>
        <v/>
      </c>
      <c r="K397" s="6" t="n"/>
      <c r="L397" s="6">
        <f>IF(J397="","",J397-K397)</f>
        <v/>
      </c>
      <c r="M397" s="6">
        <f>IF(C397="","",N396)</f>
        <v/>
      </c>
      <c r="N397" s="6">
        <f>IF(L397="","",M397+L397)</f>
        <v/>
      </c>
      <c r="O397" s="6">
        <f>IF(N397="","",MAX(Settings!$B$7,N$2:N397))</f>
        <v/>
      </c>
      <c r="P397" s="6">
        <f>IF(N397="","",N397-O397)</f>
        <v/>
      </c>
      <c r="Q397" s="2">
        <f>IF(L397="","",IF(L397&gt;0,"Win",IF(L397&lt;0,"Loss","Flat")))</f>
        <v/>
      </c>
      <c r="R397" s="2" t="n"/>
    </row>
    <row r="398">
      <c r="A398" s="2">
        <f>IF(C398&lt;&gt;"",A397+1,"")</f>
        <v/>
      </c>
      <c r="B398" s="2" t="n"/>
      <c r="C398" s="2" t="n"/>
      <c r="D398" s="2" t="n"/>
      <c r="E398" s="2" t="n"/>
      <c r="F398" s="2" t="n"/>
      <c r="G398" s="6" t="n"/>
      <c r="H398" s="6" t="n"/>
      <c r="I398" s="2">
        <f>IF(OR(E398="",G398="",H398=""),"",IF(E398="Short",G398-H398,H398-G398))</f>
        <v/>
      </c>
      <c r="J398" s="6">
        <f>IF(I398="","",I398*F398*Settings!$B$3)</f>
        <v/>
      </c>
      <c r="K398" s="6" t="n"/>
      <c r="L398" s="6">
        <f>IF(J398="","",J398-K398)</f>
        <v/>
      </c>
      <c r="M398" s="6">
        <f>IF(C398="","",N397)</f>
        <v/>
      </c>
      <c r="N398" s="6">
        <f>IF(L398="","",M398+L398)</f>
        <v/>
      </c>
      <c r="O398" s="6">
        <f>IF(N398="","",MAX(Settings!$B$7,N$2:N398))</f>
        <v/>
      </c>
      <c r="P398" s="6">
        <f>IF(N398="","",N398-O398)</f>
        <v/>
      </c>
      <c r="Q398" s="2">
        <f>IF(L398="","",IF(L398&gt;0,"Win",IF(L398&lt;0,"Loss","Flat")))</f>
        <v/>
      </c>
      <c r="R398" s="2" t="n"/>
    </row>
    <row r="399">
      <c r="A399" s="2">
        <f>IF(C399&lt;&gt;"",A398+1,"")</f>
        <v/>
      </c>
      <c r="B399" s="2" t="n"/>
      <c r="C399" s="2" t="n"/>
      <c r="D399" s="2" t="n"/>
      <c r="E399" s="2" t="n"/>
      <c r="F399" s="2" t="n"/>
      <c r="G399" s="6" t="n"/>
      <c r="H399" s="6" t="n"/>
      <c r="I399" s="2">
        <f>IF(OR(E399="",G399="",H399=""),"",IF(E399="Short",G399-H399,H399-G399))</f>
        <v/>
      </c>
      <c r="J399" s="6">
        <f>IF(I399="","",I399*F399*Settings!$B$3)</f>
        <v/>
      </c>
      <c r="K399" s="6" t="n"/>
      <c r="L399" s="6">
        <f>IF(J399="","",J399-K399)</f>
        <v/>
      </c>
      <c r="M399" s="6">
        <f>IF(C399="","",N398)</f>
        <v/>
      </c>
      <c r="N399" s="6">
        <f>IF(L399="","",M399+L399)</f>
        <v/>
      </c>
      <c r="O399" s="6">
        <f>IF(N399="","",MAX(Settings!$B$7,N$2:N399))</f>
        <v/>
      </c>
      <c r="P399" s="6">
        <f>IF(N399="","",N399-O399)</f>
        <v/>
      </c>
      <c r="Q399" s="2">
        <f>IF(L399="","",IF(L399&gt;0,"Win",IF(L399&lt;0,"Loss","Flat")))</f>
        <v/>
      </c>
      <c r="R399" s="2" t="n"/>
    </row>
    <row r="400">
      <c r="A400" s="2">
        <f>IF(C400&lt;&gt;"",A399+1,"")</f>
        <v/>
      </c>
      <c r="B400" s="2" t="n"/>
      <c r="C400" s="2" t="n"/>
      <c r="D400" s="2" t="n"/>
      <c r="E400" s="2" t="n"/>
      <c r="F400" s="2" t="n"/>
      <c r="G400" s="6" t="n"/>
      <c r="H400" s="6" t="n"/>
      <c r="I400" s="2">
        <f>IF(OR(E400="",G400="",H400=""),"",IF(E400="Short",G400-H400,H400-G400))</f>
        <v/>
      </c>
      <c r="J400" s="6">
        <f>IF(I400="","",I400*F400*Settings!$B$3)</f>
        <v/>
      </c>
      <c r="K400" s="6" t="n"/>
      <c r="L400" s="6">
        <f>IF(J400="","",J400-K400)</f>
        <v/>
      </c>
      <c r="M400" s="6">
        <f>IF(C400="","",N399)</f>
        <v/>
      </c>
      <c r="N400" s="6">
        <f>IF(L400="","",M400+L400)</f>
        <v/>
      </c>
      <c r="O400" s="6">
        <f>IF(N400="","",MAX(Settings!$B$7,N$2:N400))</f>
        <v/>
      </c>
      <c r="P400" s="6">
        <f>IF(N400="","",N400-O400)</f>
        <v/>
      </c>
      <c r="Q400" s="2">
        <f>IF(L400="","",IF(L400&gt;0,"Win",IF(L400&lt;0,"Loss","Flat")))</f>
        <v/>
      </c>
      <c r="R400" s="2" t="n"/>
    </row>
    <row r="401">
      <c r="A401" s="2">
        <f>IF(C401&lt;&gt;"",A400+1,"")</f>
        <v/>
      </c>
      <c r="B401" s="2" t="n"/>
      <c r="C401" s="2" t="n"/>
      <c r="D401" s="2" t="n"/>
      <c r="E401" s="2" t="n"/>
      <c r="F401" s="2" t="n"/>
      <c r="G401" s="6" t="n"/>
      <c r="H401" s="6" t="n"/>
      <c r="I401" s="2">
        <f>IF(OR(E401="",G401="",H401=""),"",IF(E401="Short",G401-H401,H401-G401))</f>
        <v/>
      </c>
      <c r="J401" s="6">
        <f>IF(I401="","",I401*F401*Settings!$B$3)</f>
        <v/>
      </c>
      <c r="K401" s="6" t="n"/>
      <c r="L401" s="6">
        <f>IF(J401="","",J401-K401)</f>
        <v/>
      </c>
      <c r="M401" s="6">
        <f>IF(C401="","",N400)</f>
        <v/>
      </c>
      <c r="N401" s="6">
        <f>IF(L401="","",M401+L401)</f>
        <v/>
      </c>
      <c r="O401" s="6">
        <f>IF(N401="","",MAX(Settings!$B$7,N$2:N401))</f>
        <v/>
      </c>
      <c r="P401" s="6">
        <f>IF(N401="","",N401-O401)</f>
        <v/>
      </c>
      <c r="Q401" s="2">
        <f>IF(L401="","",IF(L401&gt;0,"Win",IF(L401&lt;0,"Loss","Flat")))</f>
        <v/>
      </c>
      <c r="R401" s="2" t="n"/>
    </row>
    <row r="402">
      <c r="A402" s="2" t="n"/>
      <c r="B402" s="2" t="n"/>
      <c r="C402" s="2" t="n"/>
      <c r="D402" s="2" t="n"/>
      <c r="E402" s="2" t="n"/>
      <c r="F402" s="2" t="n"/>
      <c r="G402" s="6" t="n"/>
      <c r="H402" s="6" t="n"/>
      <c r="I402" s="2" t="n"/>
      <c r="J402" s="6" t="n"/>
      <c r="K402" s="6" t="n"/>
      <c r="L402" s="6" t="n"/>
      <c r="M402" s="6" t="n"/>
      <c r="N402" s="6" t="n"/>
      <c r="O402" s="6" t="n"/>
      <c r="P402" s="6" t="n"/>
      <c r="Q402" s="2" t="n"/>
      <c r="R402" s="2" t="n"/>
    </row>
  </sheetData>
  <conditionalFormatting sqref="L2:L40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24" customWidth="1" min="5" max="5"/>
    <col width="46" customWidth="1" min="6" max="6"/>
  </cols>
  <sheetData>
    <row r="1">
      <c r="A1" s="4" t="inlineStr">
        <is>
          <t>Date</t>
        </is>
      </c>
      <c r="B1" s="4" t="inlineStr">
        <is>
          <t>Label</t>
        </is>
      </c>
      <c r="C1" s="4" t="inlineStr">
        <is>
          <t>Amount</t>
        </is>
      </c>
      <c r="D1" s="4" t="inlineStr">
        <is>
          <t>Status</t>
        </is>
      </c>
      <c r="E1" s="4" t="inlineStr">
        <is>
          <t>Count In Total Wealth</t>
        </is>
      </c>
      <c r="F1" s="4" t="inlineStr">
        <is>
          <t>Note</t>
        </is>
      </c>
    </row>
    <row r="2">
      <c r="A2" s="2" t="inlineStr">
        <is>
          <t>2026-02-28</t>
        </is>
      </c>
      <c r="B2" s="2" t="inlineStr">
        <is>
          <t>Example actual withdrawal</t>
        </is>
      </c>
      <c r="C2" s="6" t="n">
        <v>10000</v>
      </c>
      <c r="D2" s="2" t="inlineStr">
        <is>
          <t>Actual</t>
        </is>
      </c>
      <c r="E2" s="2" t="inlineStr">
        <is>
          <t>Yes</t>
        </is>
      </c>
      <c r="F2" s="2" t="inlineStr">
        <is>
          <t>Money removed from account</t>
        </is>
      </c>
    </row>
    <row r="3">
      <c r="A3" s="2" t="inlineStr">
        <is>
          <t>2026-03-31</t>
        </is>
      </c>
      <c r="B3" s="2" t="inlineStr">
        <is>
          <t>Example internal lock</t>
        </is>
      </c>
      <c r="C3" s="6" t="n">
        <v>20000</v>
      </c>
      <c r="D3" s="2" t="inlineStr">
        <is>
          <t>Locked</t>
        </is>
      </c>
      <c r="E3" s="2" t="inlineStr">
        <is>
          <t>No</t>
        </is>
      </c>
      <c r="F3" s="2" t="inlineStr">
        <is>
          <t>Still inside account; do not double count</t>
        </is>
      </c>
    </row>
    <row r="4">
      <c r="A4" s="2" t="n"/>
      <c r="B4" s="2" t="n"/>
      <c r="C4" s="6" t="n"/>
      <c r="D4" s="2" t="n"/>
      <c r="E4" s="2" t="n"/>
      <c r="F4" s="2" t="n"/>
    </row>
    <row r="5">
      <c r="A5" s="2" t="n"/>
      <c r="B5" s="2" t="n"/>
      <c r="C5" s="6" t="n"/>
      <c r="D5" s="2" t="n"/>
      <c r="E5" s="2" t="n"/>
      <c r="F5" s="2" t="n"/>
    </row>
    <row r="6">
      <c r="A6" s="2" t="n"/>
      <c r="B6" s="2" t="n"/>
      <c r="C6" s="6" t="n"/>
      <c r="D6" s="2" t="n"/>
      <c r="E6" s="2" t="n"/>
      <c r="F6" s="2" t="n"/>
    </row>
    <row r="7">
      <c r="A7" s="2" t="n"/>
      <c r="B7" s="2" t="n"/>
      <c r="C7" s="6" t="n"/>
      <c r="D7" s="2" t="n"/>
      <c r="E7" s="2" t="n"/>
      <c r="F7" s="2" t="n"/>
    </row>
    <row r="8">
      <c r="A8" s="2" t="n"/>
      <c r="B8" s="2" t="n"/>
      <c r="C8" s="6" t="n"/>
      <c r="D8" s="2" t="n"/>
      <c r="E8" s="2" t="n"/>
      <c r="F8" s="2" t="n"/>
    </row>
    <row r="9">
      <c r="A9" s="2" t="n"/>
      <c r="B9" s="2" t="n"/>
      <c r="C9" s="6" t="n"/>
      <c r="D9" s="2" t="n"/>
      <c r="E9" s="2" t="n"/>
      <c r="F9" s="2" t="n"/>
    </row>
    <row r="10">
      <c r="A10" s="2" t="n"/>
      <c r="B10" s="2" t="n"/>
      <c r="C10" s="6" t="n"/>
      <c r="D10" s="2" t="n"/>
      <c r="E10" s="2" t="n"/>
      <c r="F10" s="2" t="n"/>
    </row>
    <row r="11">
      <c r="A11" s="2" t="n"/>
      <c r="B11" s="2" t="n"/>
      <c r="C11" s="6" t="n"/>
      <c r="D11" s="2" t="n"/>
      <c r="E11" s="2" t="n"/>
      <c r="F11" s="2" t="n"/>
    </row>
    <row r="12">
      <c r="A12" s="2" t="n"/>
      <c r="B12" s="2" t="n"/>
      <c r="C12" s="6" t="n"/>
      <c r="D12" s="2" t="n"/>
      <c r="E12" s="2" t="n"/>
      <c r="F12" s="2" t="n"/>
    </row>
    <row r="13">
      <c r="A13" s="2" t="n"/>
      <c r="B13" s="2" t="n"/>
      <c r="C13" s="6" t="n"/>
      <c r="D13" s="2" t="n"/>
      <c r="E13" s="2" t="n"/>
      <c r="F13" s="2" t="n"/>
    </row>
    <row r="14">
      <c r="A14" s="2" t="n"/>
      <c r="B14" s="2" t="n"/>
      <c r="C14" s="6" t="n"/>
      <c r="D14" s="2" t="n"/>
      <c r="E14" s="2" t="n"/>
      <c r="F14" s="2" t="n"/>
    </row>
    <row r="15">
      <c r="A15" s="2" t="n"/>
      <c r="B15" s="2" t="n"/>
      <c r="C15" s="6" t="n"/>
      <c r="D15" s="2" t="n"/>
      <c r="E15" s="2" t="n"/>
      <c r="F15" s="2" t="n"/>
    </row>
    <row r="16">
      <c r="A16" s="2" t="n"/>
      <c r="B16" s="2" t="n"/>
      <c r="C16" s="6" t="n"/>
      <c r="D16" s="2" t="n"/>
      <c r="E16" s="2" t="n"/>
      <c r="F16" s="2" t="n"/>
    </row>
    <row r="17">
      <c r="A17" s="2" t="n"/>
      <c r="B17" s="2" t="n"/>
      <c r="C17" s="6" t="n"/>
      <c r="D17" s="2" t="n"/>
      <c r="E17" s="2" t="n"/>
      <c r="F17" s="2" t="n"/>
    </row>
    <row r="18">
      <c r="A18" s="2" t="n"/>
      <c r="B18" s="2" t="n"/>
      <c r="C18" s="6" t="n"/>
      <c r="D18" s="2" t="n"/>
      <c r="E18" s="2" t="n"/>
      <c r="F18" s="2" t="n"/>
    </row>
    <row r="19">
      <c r="A19" s="2" t="n"/>
      <c r="B19" s="2" t="n"/>
      <c r="C19" s="6" t="n"/>
      <c r="D19" s="2" t="n"/>
      <c r="E19" s="2" t="n"/>
      <c r="F19" s="2" t="n"/>
    </row>
    <row r="20">
      <c r="A20" s="2" t="n"/>
      <c r="B20" s="2" t="n"/>
      <c r="C20" s="6" t="n"/>
      <c r="D20" s="2" t="n"/>
      <c r="E20" s="2" t="n"/>
      <c r="F20" s="2" t="n"/>
    </row>
    <row r="21">
      <c r="A21" s="2" t="n"/>
      <c r="B21" s="2" t="n"/>
      <c r="C21" s="6" t="n"/>
      <c r="D21" s="2" t="n"/>
      <c r="E21" s="2" t="n"/>
      <c r="F21" s="2" t="n"/>
    </row>
    <row r="22">
      <c r="A22" s="2" t="n"/>
      <c r="B22" s="2" t="n"/>
      <c r="C22" s="6" t="n"/>
      <c r="D22" s="2" t="n"/>
      <c r="E22" s="2" t="n"/>
      <c r="F22" s="2" t="n"/>
    </row>
    <row r="23">
      <c r="A23" s="2" t="n"/>
      <c r="B23" s="2" t="n"/>
      <c r="C23" s="6" t="n"/>
      <c r="D23" s="2" t="n"/>
      <c r="E23" s="2" t="n"/>
      <c r="F23" s="2" t="n"/>
    </row>
    <row r="24">
      <c r="A24" s="2" t="n"/>
      <c r="B24" s="2" t="n"/>
      <c r="C24" s="6" t="n"/>
      <c r="D24" s="2" t="n"/>
      <c r="E24" s="2" t="n"/>
      <c r="F24" s="2" t="n"/>
    </row>
    <row r="25">
      <c r="A25" s="2" t="n"/>
      <c r="B25" s="2" t="n"/>
      <c r="C25" s="6" t="n"/>
      <c r="D25" s="2" t="n"/>
      <c r="E25" s="2" t="n"/>
      <c r="F25" s="2" t="n"/>
    </row>
    <row r="26">
      <c r="A26" s="2" t="n"/>
      <c r="B26" s="2" t="n"/>
      <c r="C26" s="6" t="n"/>
      <c r="D26" s="2" t="n"/>
      <c r="E26" s="2" t="n"/>
      <c r="F26" s="2" t="n"/>
    </row>
    <row r="27">
      <c r="A27" s="2" t="n"/>
      <c r="B27" s="2" t="n"/>
      <c r="C27" s="6" t="n"/>
      <c r="D27" s="2" t="n"/>
      <c r="E27" s="2" t="n"/>
      <c r="F27" s="2" t="n"/>
    </row>
    <row r="28">
      <c r="A28" s="2" t="n"/>
      <c r="B28" s="2" t="n"/>
      <c r="C28" s="6" t="n"/>
      <c r="D28" s="2" t="n"/>
      <c r="E28" s="2" t="n"/>
      <c r="F28" s="2" t="n"/>
    </row>
    <row r="29">
      <c r="A29" s="2" t="n"/>
      <c r="B29" s="2" t="n"/>
      <c r="C29" s="6" t="n"/>
      <c r="D29" s="2" t="n"/>
      <c r="E29" s="2" t="n"/>
      <c r="F29" s="2" t="n"/>
    </row>
    <row r="30">
      <c r="A30" s="2" t="n"/>
      <c r="B30" s="2" t="n"/>
      <c r="C30" s="6" t="n"/>
      <c r="D30" s="2" t="n"/>
      <c r="E30" s="2" t="n"/>
      <c r="F30" s="2" t="n"/>
    </row>
    <row r="31">
      <c r="A31" s="2" t="n"/>
      <c r="B31" s="2" t="n"/>
      <c r="C31" s="6" t="n"/>
      <c r="D31" s="2" t="n"/>
      <c r="E31" s="2" t="n"/>
      <c r="F31" s="2" t="n"/>
    </row>
    <row r="32">
      <c r="A32" s="2" t="n"/>
      <c r="B32" s="2" t="n"/>
      <c r="C32" s="6" t="n"/>
      <c r="D32" s="2" t="n"/>
      <c r="E32" s="2" t="n"/>
      <c r="F32" s="2" t="n"/>
    </row>
    <row r="33">
      <c r="A33" s="2" t="n"/>
      <c r="B33" s="2" t="n"/>
      <c r="C33" s="6" t="n"/>
      <c r="D33" s="2" t="n"/>
      <c r="E33" s="2" t="n"/>
      <c r="F33" s="2" t="n"/>
    </row>
    <row r="34">
      <c r="A34" s="2" t="n"/>
      <c r="B34" s="2" t="n"/>
      <c r="C34" s="6" t="n"/>
      <c r="D34" s="2" t="n"/>
      <c r="E34" s="2" t="n"/>
      <c r="F34" s="2" t="n"/>
    </row>
    <row r="35">
      <c r="A35" s="2" t="n"/>
      <c r="B35" s="2" t="n"/>
      <c r="C35" s="6" t="n"/>
      <c r="D35" s="2" t="n"/>
      <c r="E35" s="2" t="n"/>
      <c r="F35" s="2" t="n"/>
    </row>
    <row r="36">
      <c r="A36" s="2" t="n"/>
      <c r="B36" s="2" t="n"/>
      <c r="C36" s="6" t="n"/>
      <c r="D36" s="2" t="n"/>
      <c r="E36" s="2" t="n"/>
      <c r="F36" s="2" t="n"/>
    </row>
    <row r="37">
      <c r="A37" s="2" t="n"/>
      <c r="B37" s="2" t="n"/>
      <c r="C37" s="6" t="n"/>
      <c r="D37" s="2" t="n"/>
      <c r="E37" s="2" t="n"/>
      <c r="F37" s="2" t="n"/>
    </row>
    <row r="38">
      <c r="A38" s="2" t="n"/>
      <c r="B38" s="2" t="n"/>
      <c r="C38" s="6" t="n"/>
      <c r="D38" s="2" t="n"/>
      <c r="E38" s="2" t="n"/>
      <c r="F38" s="2" t="n"/>
    </row>
    <row r="39">
      <c r="A39" s="2" t="n"/>
      <c r="B39" s="2" t="n"/>
      <c r="C39" s="6" t="n"/>
      <c r="D39" s="2" t="n"/>
      <c r="E39" s="2" t="n"/>
      <c r="F39" s="2" t="n"/>
    </row>
    <row r="40">
      <c r="A40" s="2" t="n"/>
      <c r="B40" s="2" t="n"/>
      <c r="C40" s="6" t="n"/>
      <c r="D40" s="2" t="n"/>
      <c r="E40" s="2" t="n"/>
      <c r="F40" s="2" t="n"/>
    </row>
    <row r="41">
      <c r="A41" s="2" t="n"/>
      <c r="B41" s="2" t="n"/>
      <c r="C41" s="6" t="n"/>
      <c r="D41" s="2" t="n"/>
      <c r="E41" s="2" t="n"/>
      <c r="F41" s="2" t="n"/>
    </row>
    <row r="42">
      <c r="A42" s="2" t="n"/>
      <c r="B42" s="2" t="n"/>
      <c r="C42" s="6" t="n"/>
      <c r="D42" s="2" t="n"/>
      <c r="E42" s="2" t="n"/>
      <c r="F42" s="2" t="n"/>
    </row>
    <row r="43">
      <c r="A43" s="2" t="n"/>
      <c r="B43" s="2" t="n"/>
      <c r="C43" s="6" t="n"/>
      <c r="D43" s="2" t="n"/>
      <c r="E43" s="2" t="n"/>
      <c r="F43" s="2" t="n"/>
    </row>
    <row r="44">
      <c r="A44" s="2" t="n"/>
      <c r="B44" s="2" t="n"/>
      <c r="C44" s="6" t="n"/>
      <c r="D44" s="2" t="n"/>
      <c r="E44" s="2" t="n"/>
      <c r="F44" s="2" t="n"/>
    </row>
    <row r="45">
      <c r="A45" s="2" t="n"/>
      <c r="B45" s="2" t="n"/>
      <c r="C45" s="6" t="n"/>
      <c r="D45" s="2" t="n"/>
      <c r="E45" s="2" t="n"/>
      <c r="F45" s="2" t="n"/>
    </row>
    <row r="46">
      <c r="A46" s="2" t="n"/>
      <c r="B46" s="2" t="n"/>
      <c r="C46" s="6" t="n"/>
      <c r="D46" s="2" t="n"/>
      <c r="E46" s="2" t="n"/>
      <c r="F46" s="2" t="n"/>
    </row>
    <row r="47">
      <c r="A47" s="2" t="n"/>
      <c r="B47" s="2" t="n"/>
      <c r="C47" s="6" t="n"/>
      <c r="D47" s="2" t="n"/>
      <c r="E47" s="2" t="n"/>
      <c r="F47" s="2" t="n"/>
    </row>
    <row r="48">
      <c r="A48" s="2" t="n"/>
      <c r="B48" s="2" t="n"/>
      <c r="C48" s="6" t="n"/>
      <c r="D48" s="2" t="n"/>
      <c r="E48" s="2" t="n"/>
      <c r="F48" s="2" t="n"/>
    </row>
    <row r="49">
      <c r="A49" s="2" t="n"/>
      <c r="B49" s="2" t="n"/>
      <c r="C49" s="6" t="n"/>
      <c r="D49" s="2" t="n"/>
      <c r="E49" s="2" t="n"/>
      <c r="F49" s="2" t="n"/>
    </row>
    <row r="50">
      <c r="A50" s="2" t="n"/>
      <c r="B50" s="2" t="n"/>
      <c r="C50" s="6" t="n"/>
      <c r="D50" s="2" t="n"/>
      <c r="E50" s="2" t="n"/>
      <c r="F50" s="2" t="n"/>
    </row>
    <row r="51">
      <c r="A51" s="2" t="n"/>
      <c r="B51" s="2" t="n"/>
      <c r="C51" s="6" t="n"/>
      <c r="D51" s="2" t="n"/>
      <c r="E51" s="2" t="n"/>
      <c r="F51" s="2" t="n"/>
    </row>
    <row r="52">
      <c r="A52" s="2" t="n"/>
      <c r="B52" s="2" t="n"/>
      <c r="C52" s="6" t="n"/>
      <c r="D52" s="2" t="n"/>
      <c r="E52" s="2" t="n"/>
      <c r="F52" s="2" t="n"/>
    </row>
    <row r="53">
      <c r="A53" s="2" t="n"/>
      <c r="B53" s="2" t="n"/>
      <c r="C53" s="6" t="n"/>
      <c r="D53" s="2" t="n"/>
      <c r="E53" s="2" t="n"/>
      <c r="F53" s="2" t="n"/>
    </row>
    <row r="54">
      <c r="A54" s="2" t="n"/>
      <c r="B54" s="2" t="n"/>
      <c r="C54" s="6" t="n"/>
      <c r="D54" s="2" t="n"/>
      <c r="E54" s="2" t="n"/>
      <c r="F54" s="2" t="n"/>
    </row>
    <row r="55">
      <c r="A55" s="2" t="n"/>
      <c r="B55" s="2" t="n"/>
      <c r="C55" s="6" t="n"/>
      <c r="D55" s="2" t="n"/>
      <c r="E55" s="2" t="n"/>
      <c r="F55" s="2" t="n"/>
    </row>
    <row r="56">
      <c r="A56" s="2" t="n"/>
      <c r="B56" s="2" t="n"/>
      <c r="C56" s="6" t="n"/>
      <c r="D56" s="2" t="n"/>
      <c r="E56" s="2" t="n"/>
      <c r="F56" s="2" t="n"/>
    </row>
    <row r="57">
      <c r="A57" s="2" t="n"/>
      <c r="B57" s="2" t="n"/>
      <c r="C57" s="6" t="n"/>
      <c r="D57" s="2" t="n"/>
      <c r="E57" s="2" t="n"/>
      <c r="F57" s="2" t="n"/>
    </row>
    <row r="58">
      <c r="A58" s="2" t="n"/>
      <c r="B58" s="2" t="n"/>
      <c r="C58" s="6" t="n"/>
      <c r="D58" s="2" t="n"/>
      <c r="E58" s="2" t="n"/>
      <c r="F58" s="2" t="n"/>
    </row>
    <row r="59">
      <c r="A59" s="2" t="n"/>
      <c r="B59" s="2" t="n"/>
      <c r="C59" s="6" t="n"/>
      <c r="D59" s="2" t="n"/>
      <c r="E59" s="2" t="n"/>
      <c r="F59" s="2" t="n"/>
    </row>
    <row r="60">
      <c r="A60" s="2" t="n"/>
      <c r="B60" s="2" t="n"/>
      <c r="C60" s="6" t="n"/>
      <c r="D60" s="2" t="n"/>
      <c r="E60" s="2" t="n"/>
      <c r="F60" s="2" t="n"/>
    </row>
    <row r="61">
      <c r="A61" s="2" t="n"/>
      <c r="B61" s="2" t="n"/>
      <c r="C61" s="6" t="n"/>
      <c r="D61" s="2" t="n"/>
      <c r="E61" s="2" t="n"/>
      <c r="F61" s="2" t="n"/>
    </row>
    <row r="62">
      <c r="A62" s="2" t="n"/>
      <c r="B62" s="2" t="n"/>
      <c r="C62" s="6" t="n"/>
      <c r="D62" s="2" t="n"/>
      <c r="E62" s="2" t="n"/>
      <c r="F62" s="2" t="n"/>
    </row>
    <row r="63">
      <c r="A63" s="2" t="n"/>
      <c r="B63" s="2" t="n"/>
      <c r="C63" s="6" t="n"/>
      <c r="D63" s="2" t="n"/>
      <c r="E63" s="2" t="n"/>
      <c r="F63" s="2" t="n"/>
    </row>
    <row r="64">
      <c r="A64" s="2" t="n"/>
      <c r="B64" s="2" t="n"/>
      <c r="C64" s="6" t="n"/>
      <c r="D64" s="2" t="n"/>
      <c r="E64" s="2" t="n"/>
      <c r="F64" s="2" t="n"/>
    </row>
    <row r="65">
      <c r="A65" s="2" t="n"/>
      <c r="B65" s="2" t="n"/>
      <c r="C65" s="6" t="n"/>
      <c r="D65" s="2" t="n"/>
      <c r="E65" s="2" t="n"/>
      <c r="F65" s="2" t="n"/>
    </row>
    <row r="66">
      <c r="A66" s="2" t="n"/>
      <c r="B66" s="2" t="n"/>
      <c r="C66" s="6" t="n"/>
      <c r="D66" s="2" t="n"/>
      <c r="E66" s="2" t="n"/>
      <c r="F66" s="2" t="n"/>
    </row>
    <row r="67">
      <c r="A67" s="2" t="n"/>
      <c r="B67" s="2" t="n"/>
      <c r="C67" s="6" t="n"/>
      <c r="D67" s="2" t="n"/>
      <c r="E67" s="2" t="n"/>
      <c r="F67" s="2" t="n"/>
    </row>
    <row r="68">
      <c r="A68" s="2" t="n"/>
      <c r="B68" s="2" t="n"/>
      <c r="C68" s="6" t="n"/>
      <c r="D68" s="2" t="n"/>
      <c r="E68" s="2" t="n"/>
      <c r="F68" s="2" t="n"/>
    </row>
    <row r="69">
      <c r="A69" s="2" t="n"/>
      <c r="B69" s="2" t="n"/>
      <c r="C69" s="6" t="n"/>
      <c r="D69" s="2" t="n"/>
      <c r="E69" s="2" t="n"/>
      <c r="F69" s="2" t="n"/>
    </row>
    <row r="70">
      <c r="A70" s="2" t="n"/>
      <c r="B70" s="2" t="n"/>
      <c r="C70" s="6" t="n"/>
      <c r="D70" s="2" t="n"/>
      <c r="E70" s="2" t="n"/>
      <c r="F70" s="2" t="n"/>
    </row>
    <row r="71">
      <c r="A71" s="2" t="n"/>
      <c r="B71" s="2" t="n"/>
      <c r="C71" s="6" t="n"/>
      <c r="D71" s="2" t="n"/>
      <c r="E71" s="2" t="n"/>
      <c r="F71" s="2" t="n"/>
    </row>
    <row r="72">
      <c r="A72" s="2" t="n"/>
      <c r="B72" s="2" t="n"/>
      <c r="C72" s="6" t="n"/>
      <c r="D72" s="2" t="n"/>
      <c r="E72" s="2" t="n"/>
      <c r="F72" s="2" t="n"/>
    </row>
    <row r="73">
      <c r="A73" s="2" t="n"/>
      <c r="B73" s="2" t="n"/>
      <c r="C73" s="6" t="n"/>
      <c r="D73" s="2" t="n"/>
      <c r="E73" s="2" t="n"/>
      <c r="F73" s="2" t="n"/>
    </row>
    <row r="74">
      <c r="A74" s="2" t="n"/>
      <c r="B74" s="2" t="n"/>
      <c r="C74" s="6" t="n"/>
      <c r="D74" s="2" t="n"/>
      <c r="E74" s="2" t="n"/>
      <c r="F74" s="2" t="n"/>
    </row>
    <row r="75">
      <c r="A75" s="2" t="n"/>
      <c r="B75" s="2" t="n"/>
      <c r="C75" s="6" t="n"/>
      <c r="D75" s="2" t="n"/>
      <c r="E75" s="2" t="n"/>
      <c r="F75" s="2" t="n"/>
    </row>
    <row r="76">
      <c r="A76" s="2" t="n"/>
      <c r="B76" s="2" t="n"/>
      <c r="C76" s="6" t="n"/>
      <c r="D76" s="2" t="n"/>
      <c r="E76" s="2" t="n"/>
      <c r="F76" s="2" t="n"/>
    </row>
    <row r="77">
      <c r="A77" s="2" t="n"/>
      <c r="B77" s="2" t="n"/>
      <c r="C77" s="6" t="n"/>
      <c r="D77" s="2" t="n"/>
      <c r="E77" s="2" t="n"/>
      <c r="F77" s="2" t="n"/>
    </row>
    <row r="78">
      <c r="A78" s="2" t="n"/>
      <c r="B78" s="2" t="n"/>
      <c r="C78" s="6" t="n"/>
      <c r="D78" s="2" t="n"/>
      <c r="E78" s="2" t="n"/>
      <c r="F78" s="2" t="n"/>
    </row>
    <row r="79">
      <c r="A79" s="2" t="n"/>
      <c r="B79" s="2" t="n"/>
      <c r="C79" s="6" t="n"/>
      <c r="D79" s="2" t="n"/>
      <c r="E79" s="2" t="n"/>
      <c r="F79" s="2" t="n"/>
    </row>
    <row r="80">
      <c r="A80" s="2" t="n"/>
      <c r="B80" s="2" t="n"/>
      <c r="C80" s="6" t="n"/>
      <c r="D80" s="2" t="n"/>
      <c r="E80" s="2" t="n"/>
      <c r="F80" s="2" t="n"/>
    </row>
    <row r="81">
      <c r="A81" s="2" t="n"/>
      <c r="B81" s="2" t="n"/>
      <c r="C81" s="6" t="n"/>
      <c r="D81" s="2" t="n"/>
      <c r="E81" s="2" t="n"/>
      <c r="F81" s="2" t="n"/>
    </row>
    <row r="82">
      <c r="A82" s="2" t="n"/>
      <c r="B82" s="2" t="n"/>
      <c r="C82" s="6" t="n"/>
      <c r="D82" s="2" t="n"/>
      <c r="E82" s="2" t="n"/>
      <c r="F82" s="2" t="n"/>
    </row>
    <row r="83">
      <c r="A83" s="2" t="n"/>
      <c r="B83" s="2" t="n"/>
      <c r="C83" s="6" t="n"/>
      <c r="D83" s="2" t="n"/>
      <c r="E83" s="2" t="n"/>
      <c r="F83" s="2" t="n"/>
    </row>
    <row r="84">
      <c r="A84" s="2" t="n"/>
      <c r="B84" s="2" t="n"/>
      <c r="C84" s="6" t="n"/>
      <c r="D84" s="2" t="n"/>
      <c r="E84" s="2" t="n"/>
      <c r="F84" s="2" t="n"/>
    </row>
    <row r="85">
      <c r="A85" s="2" t="n"/>
      <c r="B85" s="2" t="n"/>
      <c r="C85" s="6" t="n"/>
      <c r="D85" s="2" t="n"/>
      <c r="E85" s="2" t="n"/>
      <c r="F85" s="2" t="n"/>
    </row>
    <row r="86">
      <c r="A86" s="2" t="n"/>
      <c r="B86" s="2" t="n"/>
      <c r="C86" s="6" t="n"/>
      <c r="D86" s="2" t="n"/>
      <c r="E86" s="2" t="n"/>
      <c r="F86" s="2" t="n"/>
    </row>
    <row r="87">
      <c r="A87" s="2" t="n"/>
      <c r="B87" s="2" t="n"/>
      <c r="C87" s="6" t="n"/>
      <c r="D87" s="2" t="n"/>
      <c r="E87" s="2" t="n"/>
      <c r="F87" s="2" t="n"/>
    </row>
    <row r="88">
      <c r="A88" s="2" t="n"/>
      <c r="B88" s="2" t="n"/>
      <c r="C88" s="6" t="n"/>
      <c r="D88" s="2" t="n"/>
      <c r="E88" s="2" t="n"/>
      <c r="F88" s="2" t="n"/>
    </row>
    <row r="89">
      <c r="A89" s="2" t="n"/>
      <c r="B89" s="2" t="n"/>
      <c r="C89" s="6" t="n"/>
      <c r="D89" s="2" t="n"/>
      <c r="E89" s="2" t="n"/>
      <c r="F89" s="2" t="n"/>
    </row>
    <row r="90">
      <c r="A90" s="2" t="n"/>
      <c r="B90" s="2" t="n"/>
      <c r="C90" s="6" t="n"/>
      <c r="D90" s="2" t="n"/>
      <c r="E90" s="2" t="n"/>
      <c r="F90" s="2" t="n"/>
    </row>
    <row r="91">
      <c r="A91" s="2" t="n"/>
      <c r="B91" s="2" t="n"/>
      <c r="C91" s="6" t="n"/>
      <c r="D91" s="2" t="n"/>
      <c r="E91" s="2" t="n"/>
      <c r="F91" s="2" t="n"/>
    </row>
    <row r="92">
      <c r="A92" s="2" t="n"/>
      <c r="B92" s="2" t="n"/>
      <c r="C92" s="6" t="n"/>
      <c r="D92" s="2" t="n"/>
      <c r="E92" s="2" t="n"/>
      <c r="F92" s="2" t="n"/>
    </row>
    <row r="93">
      <c r="A93" s="2" t="n"/>
      <c r="B93" s="2" t="n"/>
      <c r="C93" s="6" t="n"/>
      <c r="D93" s="2" t="n"/>
      <c r="E93" s="2" t="n"/>
      <c r="F93" s="2" t="n"/>
    </row>
    <row r="94">
      <c r="A94" s="2" t="n"/>
      <c r="B94" s="2" t="n"/>
      <c r="C94" s="6" t="n"/>
      <c r="D94" s="2" t="n"/>
      <c r="E94" s="2" t="n"/>
      <c r="F94" s="2" t="n"/>
    </row>
    <row r="95">
      <c r="A95" s="2" t="n"/>
      <c r="B95" s="2" t="n"/>
      <c r="C95" s="6" t="n"/>
      <c r="D95" s="2" t="n"/>
      <c r="E95" s="2" t="n"/>
      <c r="F95" s="2" t="n"/>
    </row>
    <row r="96">
      <c r="A96" s="2" t="n"/>
      <c r="B96" s="2" t="n"/>
      <c r="C96" s="6" t="n"/>
      <c r="D96" s="2" t="n"/>
      <c r="E96" s="2" t="n"/>
      <c r="F96" s="2" t="n"/>
    </row>
    <row r="97">
      <c r="A97" s="2" t="n"/>
      <c r="B97" s="2" t="n"/>
      <c r="C97" s="6" t="n"/>
      <c r="D97" s="2" t="n"/>
      <c r="E97" s="2" t="n"/>
      <c r="F97" s="2" t="n"/>
    </row>
    <row r="98">
      <c r="A98" s="2" t="n"/>
      <c r="B98" s="2" t="n"/>
      <c r="C98" s="6" t="n"/>
      <c r="D98" s="2" t="n"/>
      <c r="E98" s="2" t="n"/>
      <c r="F98" s="2" t="n"/>
    </row>
    <row r="99">
      <c r="A99" s="2" t="n"/>
      <c r="B99" s="2" t="n"/>
      <c r="C99" s="6" t="n"/>
      <c r="D99" s="2" t="n"/>
      <c r="E99" s="2" t="n"/>
      <c r="F99" s="2" t="n"/>
    </row>
    <row r="100">
      <c r="A100" s="2" t="n"/>
      <c r="B100" s="2" t="n"/>
      <c r="C100" s="6" t="n"/>
      <c r="D100" s="2" t="n"/>
      <c r="E100" s="2" t="n"/>
      <c r="F100" s="2" t="n"/>
    </row>
  </sheetData>
  <dataValidations count="1">
    <dataValidation sqref="D2:D100" showDropDown="0" showInputMessage="0" showErrorMessage="0" allowBlank="1" type="list">
      <formula1>"Actual,Locked,Pending"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4" t="inlineStr">
        <is>
          <t>Month</t>
        </is>
      </c>
      <c r="B1" s="4" t="inlineStr">
        <is>
          <t>Net PnL</t>
        </is>
      </c>
      <c r="C1" s="4" t="inlineStr">
        <is>
          <t>Trades</t>
        </is>
      </c>
      <c r="D1" s="4" t="inlineStr">
        <is>
          <t>Wins</t>
        </is>
      </c>
      <c r="E1" s="4" t="inlineStr">
        <is>
          <t>Losses</t>
        </is>
      </c>
      <c r="F1" s="4" t="inlineStr">
        <is>
          <t>Win Rate</t>
        </is>
      </c>
    </row>
    <row r="2">
      <c r="A2" s="2" t="inlineStr">
        <is>
          <t>2026-01</t>
        </is>
      </c>
      <c r="B2" s="6">
        <f>SUMIFS(Trades!L:L,Trades!D:D,"&gt;="&amp;DATEVALUE(A2&amp;"-01"),Trades!D:D,"&lt;"&amp;EDATE(DATEVALUE(A2&amp;"-01"),1))</f>
        <v/>
      </c>
      <c r="C2" s="2">
        <f>COUNTIFS(Trades!D:D,"&gt;="&amp;DATEVALUE(A2&amp;"-01"),Trades!D:D,"&lt;"&amp;EDATE(DATEVALUE(A2&amp;"-01"),1))</f>
        <v/>
      </c>
      <c r="D2" s="2">
        <f>COUNTIFS(Trades!D:D,"&gt;="&amp;DATEVALUE(A2&amp;"-01"),Trades!D:D,"&lt;"&amp;EDATE(DATEVALUE(A2&amp;"-01"),1),Trades!Q:Q,"Win")</f>
        <v/>
      </c>
      <c r="E2" s="2">
        <f>COUNTIFS(Trades!D:D,"&gt;="&amp;DATEVALUE(A2&amp;"-01"),Trades!D:D,"&lt;"&amp;EDATE(DATEVALUE(A2&amp;"-01"),1),Trades!Q:Q,"Loss")</f>
        <v/>
      </c>
      <c r="F2" s="7">
        <f>IF(C2=0,"",D2/C2)</f>
        <v/>
      </c>
    </row>
    <row r="3">
      <c r="A3" s="2" t="inlineStr">
        <is>
          <t>2026-02</t>
        </is>
      </c>
      <c r="B3" s="6">
        <f>SUMIFS(Trades!L:L,Trades!D:D,"&gt;="&amp;DATEVALUE(A3&amp;"-01"),Trades!D:D,"&lt;"&amp;EDATE(DATEVALUE(A3&amp;"-01"),1))</f>
        <v/>
      </c>
      <c r="C3" s="2">
        <f>COUNTIFS(Trades!D:D,"&gt;="&amp;DATEVALUE(A3&amp;"-01"),Trades!D:D,"&lt;"&amp;EDATE(DATEVALUE(A3&amp;"-01"),1))</f>
        <v/>
      </c>
      <c r="D3" s="2">
        <f>COUNTIFS(Trades!D:D,"&gt;="&amp;DATEVALUE(A3&amp;"-01"),Trades!D:D,"&lt;"&amp;EDATE(DATEVALUE(A3&amp;"-01"),1),Trades!Q:Q,"Win")</f>
        <v/>
      </c>
      <c r="E3" s="2">
        <f>COUNTIFS(Trades!D:D,"&gt;="&amp;DATEVALUE(A3&amp;"-01"),Trades!D:D,"&lt;"&amp;EDATE(DATEVALUE(A3&amp;"-01"),1),Trades!Q:Q,"Loss")</f>
        <v/>
      </c>
      <c r="F3" s="7">
        <f>IF(C3=0,"",D3/C3)</f>
        <v/>
      </c>
    </row>
    <row r="4">
      <c r="A4" s="2" t="inlineStr">
        <is>
          <t>2026-03</t>
        </is>
      </c>
      <c r="B4" s="6">
        <f>SUMIFS(Trades!L:L,Trades!D:D,"&gt;="&amp;DATEVALUE(A4&amp;"-01"),Trades!D:D,"&lt;"&amp;EDATE(DATEVALUE(A4&amp;"-01"),1))</f>
        <v/>
      </c>
      <c r="C4" s="2">
        <f>COUNTIFS(Trades!D:D,"&gt;="&amp;DATEVALUE(A4&amp;"-01"),Trades!D:D,"&lt;"&amp;EDATE(DATEVALUE(A4&amp;"-01"),1))</f>
        <v/>
      </c>
      <c r="D4" s="2">
        <f>COUNTIFS(Trades!D:D,"&gt;="&amp;DATEVALUE(A4&amp;"-01"),Trades!D:D,"&lt;"&amp;EDATE(DATEVALUE(A4&amp;"-01"),1),Trades!Q:Q,"Win")</f>
        <v/>
      </c>
      <c r="E4" s="2">
        <f>COUNTIFS(Trades!D:D,"&gt;="&amp;DATEVALUE(A4&amp;"-01"),Trades!D:D,"&lt;"&amp;EDATE(DATEVALUE(A4&amp;"-01"),1),Trades!Q:Q,"Loss")</f>
        <v/>
      </c>
      <c r="F4" s="7">
        <f>IF(C4=0,"",D4/C4)</f>
        <v/>
      </c>
    </row>
    <row r="5">
      <c r="A5" s="2" t="inlineStr">
        <is>
          <t>2026-04</t>
        </is>
      </c>
      <c r="B5" s="6">
        <f>SUMIFS(Trades!L:L,Trades!D:D,"&gt;="&amp;DATEVALUE(A5&amp;"-01"),Trades!D:D,"&lt;"&amp;EDATE(DATEVALUE(A5&amp;"-01"),1))</f>
        <v/>
      </c>
      <c r="C5" s="2">
        <f>COUNTIFS(Trades!D:D,"&gt;="&amp;DATEVALUE(A5&amp;"-01"),Trades!D:D,"&lt;"&amp;EDATE(DATEVALUE(A5&amp;"-01"),1))</f>
        <v/>
      </c>
      <c r="D5" s="2">
        <f>COUNTIFS(Trades!D:D,"&gt;="&amp;DATEVALUE(A5&amp;"-01"),Trades!D:D,"&lt;"&amp;EDATE(DATEVALUE(A5&amp;"-01"),1),Trades!Q:Q,"Win")</f>
        <v/>
      </c>
      <c r="E5" s="2">
        <f>COUNTIFS(Trades!D:D,"&gt;="&amp;DATEVALUE(A5&amp;"-01"),Trades!D:D,"&lt;"&amp;EDATE(DATEVALUE(A5&amp;"-01"),1),Trades!Q:Q,"Loss")</f>
        <v/>
      </c>
      <c r="F5" s="7">
        <f>IF(C5=0,"",D5/C5)</f>
        <v/>
      </c>
    </row>
    <row r="6">
      <c r="A6" s="2" t="inlineStr">
        <is>
          <t>2026-05</t>
        </is>
      </c>
      <c r="B6" s="6">
        <f>SUMIFS(Trades!L:L,Trades!D:D,"&gt;="&amp;DATEVALUE(A6&amp;"-01"),Trades!D:D,"&lt;"&amp;EDATE(DATEVALUE(A6&amp;"-01"),1))</f>
        <v/>
      </c>
      <c r="C6" s="2">
        <f>COUNTIFS(Trades!D:D,"&gt;="&amp;DATEVALUE(A6&amp;"-01"),Trades!D:D,"&lt;"&amp;EDATE(DATEVALUE(A6&amp;"-01"),1))</f>
        <v/>
      </c>
      <c r="D6" s="2">
        <f>COUNTIFS(Trades!D:D,"&gt;="&amp;DATEVALUE(A6&amp;"-01"),Trades!D:D,"&lt;"&amp;EDATE(DATEVALUE(A6&amp;"-01"),1),Trades!Q:Q,"Win")</f>
        <v/>
      </c>
      <c r="E6" s="2">
        <f>COUNTIFS(Trades!D:D,"&gt;="&amp;DATEVALUE(A6&amp;"-01"),Trades!D:D,"&lt;"&amp;EDATE(DATEVALUE(A6&amp;"-01"),1),Trades!Q:Q,"Loss")</f>
        <v/>
      </c>
      <c r="F6" s="7">
        <f>IF(C6=0,"",D6/C6)</f>
        <v/>
      </c>
    </row>
    <row r="7">
      <c r="A7" s="2" t="inlineStr">
        <is>
          <t>2026-06</t>
        </is>
      </c>
      <c r="B7" s="6">
        <f>SUMIFS(Trades!L:L,Trades!D:D,"&gt;="&amp;DATEVALUE(A7&amp;"-01"),Trades!D:D,"&lt;"&amp;EDATE(DATEVALUE(A7&amp;"-01"),1))</f>
        <v/>
      </c>
      <c r="C7" s="2">
        <f>COUNTIFS(Trades!D:D,"&gt;="&amp;DATEVALUE(A7&amp;"-01"),Trades!D:D,"&lt;"&amp;EDATE(DATEVALUE(A7&amp;"-01"),1))</f>
        <v/>
      </c>
      <c r="D7" s="2">
        <f>COUNTIFS(Trades!D:D,"&gt;="&amp;DATEVALUE(A7&amp;"-01"),Trades!D:D,"&lt;"&amp;EDATE(DATEVALUE(A7&amp;"-01"),1),Trades!Q:Q,"Win")</f>
        <v/>
      </c>
      <c r="E7" s="2">
        <f>COUNTIFS(Trades!D:D,"&gt;="&amp;DATEVALUE(A7&amp;"-01"),Trades!D:D,"&lt;"&amp;EDATE(DATEVALUE(A7&amp;"-01"),1),Trades!Q:Q,"Loss")</f>
        <v/>
      </c>
      <c r="F7" s="7">
        <f>IF(C7=0,"",D7/C7)</f>
        <v/>
      </c>
    </row>
    <row r="8">
      <c r="A8" s="2" t="n"/>
      <c r="B8" s="6" t="n"/>
      <c r="C8" s="2" t="n"/>
      <c r="D8" s="2" t="n"/>
      <c r="E8" s="2" t="n"/>
      <c r="F8" s="7" t="n"/>
    </row>
    <row r="9">
      <c r="A9" s="2" t="n"/>
      <c r="B9" s="6" t="n"/>
      <c r="C9" s="2" t="n"/>
      <c r="D9" s="2" t="n"/>
      <c r="E9" s="2" t="n"/>
      <c r="F9" s="7" t="n"/>
    </row>
    <row r="10">
      <c r="A10" s="2" t="n"/>
      <c r="B10" s="6" t="n"/>
      <c r="C10" s="2" t="n"/>
      <c r="D10" s="2" t="n"/>
      <c r="E10" s="2" t="n"/>
      <c r="F10" s="7" t="n"/>
    </row>
    <row r="11">
      <c r="A11" s="2" t="n"/>
      <c r="B11" s="6" t="n"/>
      <c r="C11" s="2" t="n"/>
      <c r="D11" s="2" t="n"/>
      <c r="E11" s="2" t="n"/>
      <c r="F11" s="7" t="n"/>
    </row>
    <row r="12">
      <c r="A12" s="2" t="n"/>
      <c r="B12" s="6" t="n"/>
      <c r="C12" s="2" t="n"/>
      <c r="D12" s="2" t="n"/>
      <c r="E12" s="2" t="n"/>
      <c r="F12" s="7" t="n"/>
    </row>
    <row r="13">
      <c r="A13" s="2" t="n"/>
      <c r="B13" s="6" t="n"/>
      <c r="C13" s="2" t="n"/>
      <c r="D13" s="2" t="n"/>
      <c r="E13" s="2" t="n"/>
      <c r="F13" s="7" t="n"/>
    </row>
    <row r="14">
      <c r="A14" s="2" t="n"/>
      <c r="B14" s="6" t="n"/>
      <c r="C14" s="2" t="n"/>
      <c r="D14" s="2" t="n"/>
      <c r="E14" s="2" t="n"/>
      <c r="F14" s="7" t="n"/>
    </row>
    <row r="15">
      <c r="A15" s="2" t="n"/>
      <c r="B15" s="6" t="n"/>
      <c r="C15" s="2" t="n"/>
      <c r="D15" s="2" t="n"/>
      <c r="E15" s="2" t="n"/>
      <c r="F15" s="7" t="n"/>
    </row>
    <row r="16">
      <c r="A16" s="2" t="n"/>
      <c r="B16" s="6" t="n"/>
      <c r="C16" s="2" t="n"/>
      <c r="D16" s="2" t="n"/>
      <c r="E16" s="2" t="n"/>
      <c r="F16" s="7" t="n"/>
    </row>
    <row r="17">
      <c r="A17" s="2" t="n"/>
      <c r="B17" s="6" t="n"/>
      <c r="C17" s="2" t="n"/>
      <c r="D17" s="2" t="n"/>
      <c r="E17" s="2" t="n"/>
      <c r="F17" s="7" t="n"/>
    </row>
    <row r="18">
      <c r="A18" s="2" t="n"/>
      <c r="B18" s="6" t="n"/>
      <c r="C18" s="2" t="n"/>
      <c r="D18" s="2" t="n"/>
      <c r="E18" s="2" t="n"/>
      <c r="F18" s="7" t="n"/>
    </row>
    <row r="19">
      <c r="A19" s="2" t="n"/>
      <c r="B19" s="6" t="n"/>
      <c r="C19" s="2" t="n"/>
      <c r="D19" s="2" t="n"/>
      <c r="E19" s="2" t="n"/>
      <c r="F19" s="7" t="n"/>
    </row>
    <row r="20">
      <c r="A20" s="2" t="n"/>
      <c r="B20" s="6" t="n"/>
      <c r="C20" s="2" t="n"/>
      <c r="D20" s="2" t="n"/>
      <c r="E20" s="2" t="n"/>
      <c r="F20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4" t="inlineStr">
        <is>
          <t>Topic</t>
        </is>
      </c>
      <c r="B1" s="4" t="inlineStr">
        <is>
          <t>Note</t>
        </is>
      </c>
    </row>
    <row r="2">
      <c r="A2" s="2" t="inlineStr">
        <is>
          <t>Purpose</t>
        </is>
      </c>
      <c r="B2" s="2" t="inlineStr">
        <is>
          <t>This file is a capital management and research template, not a trading signal system.</t>
        </is>
      </c>
    </row>
    <row r="3">
      <c r="A3" s="2" t="inlineStr">
        <is>
          <t>Withdrawal logic</t>
        </is>
      </c>
      <c r="B3" s="2" t="inlineStr">
        <is>
          <t>Actual withdrawals count into total wealth. Locked or pending records do not double count.</t>
        </is>
      </c>
    </row>
    <row r="4">
      <c r="A4" s="2" t="inlineStr">
        <is>
          <t>Risk</t>
        </is>
      </c>
      <c r="B4" s="2" t="inlineStr">
        <is>
          <t>Always include fees, tax, slippage, margin changes, and execution errors.</t>
        </is>
      </c>
    </row>
    <row r="5">
      <c r="A5" s="2" t="inlineStr">
        <is>
          <t>Open source boundary</t>
        </is>
      </c>
      <c r="B5" s="2" t="inlineStr">
        <is>
          <t>Do not publish live strategy rules, account size, broker statements, or full private trade 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2026-05-31T14:46:07Z</dcterms:created>
  <dcterms:modified xsi:type="dcterms:W3CDTF">2026-05-31T14:46:07Z</dcterms:modified>
</cp:coreProperties>
</file>